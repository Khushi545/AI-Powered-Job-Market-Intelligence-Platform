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a4dbeb8f84b5af/Documents/"/>
    </mc:Choice>
  </mc:AlternateContent>
  <xr:revisionPtr revIDLastSave="1107" documentId="8_{B1DF67B1-DD61-410E-B6D2-66634F21F3C9}" xr6:coauthVersionLast="47" xr6:coauthVersionMax="47" xr10:uidLastSave="{1430D887-EA0F-4BC9-851D-3CC976DF3401}"/>
  <bookViews>
    <workbookView xWindow="-108" yWindow="-108" windowWidth="23256" windowHeight="12456" xr2:uid="{36A93DD6-E898-4DDF-913C-2F322B7F44B4}"/>
  </bookViews>
  <sheets>
    <sheet name="Dashboard" sheetId="22" r:id="rId1"/>
    <sheet name="Data Overview" sheetId="1" r:id="rId2"/>
    <sheet name="Skill Analysis Pivot Tables" sheetId="5" r:id="rId3"/>
    <sheet name="Skill Analysis" sheetId="9" r:id="rId4"/>
    <sheet name="Location Analysis Pivot Table" sheetId="11" r:id="rId5"/>
    <sheet name="Location Analysis" sheetId="12" r:id="rId6"/>
    <sheet name="Salary Analysis Pivot Table" sheetId="13" r:id="rId7"/>
    <sheet name="Salary Analysis" sheetId="18" r:id="rId8"/>
  </sheets>
  <definedNames>
    <definedName name="ExternalData_10" localSheetId="1" hidden="1">'Data Overview'!$D$1:$F$21</definedName>
    <definedName name="ExternalData_12" localSheetId="1" hidden="1">'Data Overview'!$A$1:$B$21</definedName>
    <definedName name="ExternalData_13" localSheetId="1" hidden="1">'Data Overview'!$A$24:$B$39</definedName>
    <definedName name="ExternalData_14" localSheetId="1" hidden="1">'Data Overview'!$D$24:$F$131</definedName>
    <definedName name="ExternalData_15" localSheetId="1" hidden="1">'Data Overview'!$H$1:$I$21</definedName>
    <definedName name="ExternalData_17" localSheetId="1" hidden="1">'Data Overview'!$H$24:$I$39</definedName>
    <definedName name="ExternalData_18" localSheetId="1" hidden="1">'Data Overview'!$A$42:$B$55</definedName>
    <definedName name="ExternalData_21" localSheetId="1" hidden="1">'Data Overview'!$K$11:$M$17</definedName>
    <definedName name="ExternalData_24" localSheetId="1" hidden="1">'Data Overview'!$K$20:$M$35</definedName>
    <definedName name="ExternalData_25" localSheetId="1" hidden="1">'Data Overview'!$K$38:$M$45</definedName>
    <definedName name="ExternalData_7" localSheetId="1" hidden="1">'Data Overview'!$K$1:$M$8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  <pivotCache cacheId="7" r:id="rId16"/>
    <pivotCache cacheId="8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c47eba4c-c85d-4054-a187-92ac1395c0bf" name="Sheet1" connection="Query - top job titles"/>
          <x15:modelTable id="Sheet1  2_47487655-778f-48f3-a680-f9ea5b45a553" name="Sheet1  2" connection="Query - avg_salary_by_role"/>
          <x15:modelTable id="Sheet1  4_5b02d42d-3404-4c51-aa83-37cd4614a652" name="Sheet1  4" connection="Query - experience_level_distribution"/>
          <x15:modelTable id="skill_demand_by_category_b414a39b-fd6e-4829-9184-1fd6dcdc5e9e" name="skill_demand_by_category" connection="Query - skill_demand_by_category"/>
          <x15:modelTable id="Sheet1  6_9dbc768b-47e6-426f-87b5-dbd59c1fc4a9" name="Sheet1  6" connection="Query - skills_by_role_data_analyst"/>
          <x15:modelTable id="Sheet1  7_185d14b6-ff44-42a5-9bc5-241cc9047d7c" name="Sheet1  7" connection="Query - skills_by_top_10_roles"/>
          <x15:modelTable id="Sheet1  8_ed2caea0-8ed3-4c23-bcb8-195a7e4193b0" name="Sheet1  8" connection="Query - top_hiring_companies"/>
          <x15:modelTable id="Sheet1  9_e6654f6d-0344-4833-b6ff-f684ec011b84" name="Sheet1  9" connection="Query - top_locations"/>
          <x15:modelTable id="Sheet1  12_80fdb359-53fd-4ef7-a76a-3eac8bfb5ef5" name="Sheet1  12" connection="Query - top_skills"/>
          <x15:modelTable id="Sheet1 1_030bba0b-4a22-4131-b4a7-f42e23a76581" name="Sheet1 1" connection="Query - 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2" l="1"/>
  <c r="O3" i="22"/>
  <c r="L3" i="22"/>
  <c r="J3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5267BB-8A46-43CC-9D31-A20314BE6340}" keepAlive="1" name="ModelConnection_ExternalData_10" description="Data Model" type="5" refreshedVersion="8" minRefreshableVersion="5" saveData="1">
    <dbPr connection="Data Model Connection" command="Sheet1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E2DA01D-456C-4A42-8921-92D47A95798E}" keepAlive="1" name="ModelConnection_ExternalData_12" description="Data Model" type="5" refreshedVersion="8" minRefreshableVersion="5" saveData="1">
    <dbPr connection="Data Model Connection" command="Sheet1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CF1587C9-4699-48F5-B6F9-6A4A7B353E4F}" keepAlive="1" name="ModelConnection_ExternalData_13" description="Data Model" type="5" refreshedVersion="8" minRefreshableVersion="5" saveData="1">
    <dbPr connection="Data Model Connection" command="Sheet1  6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4BDA85ED-1323-418A-B9B4-0A63B2460F19}" keepAlive="1" name="ModelConnection_ExternalData_14" description="Data Model" type="5" refreshedVersion="8" minRefreshableVersion="5" saveData="1">
    <dbPr connection="Data Model Connection" command="Sheet1  7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D5F58162-4284-4F17-A914-CEE617D8502E}" keepAlive="1" name="ModelConnection_ExternalData_15" description="Data Model" type="5" refreshedVersion="8" minRefreshableVersion="5" saveData="1">
    <dbPr connection="Data Model Connection" command="Sheet1  8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1E7F7273-106E-4740-8E62-DAE36FA3B84C}" keepAlive="1" name="ModelConnection_ExternalData_17" description="Data Model" type="5" refreshedVersion="8" minRefreshableVersion="5" saveData="1">
    <dbPr connection="Data Model Connection" command="Sheet1  9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4CACED28-3C5B-4349-B8F1-D063AE632337}" keepAlive="1" name="ModelConnection_ExternalData_18" description="Data Model" type="5" refreshedVersion="8" minRefreshableVersion="5" saveData="1">
    <dbPr connection="Data Model Connection" command="skill_demand_by_category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CC4A915B-449A-41CD-B9CA-3E40A776517B}" keepAlive="1" name="ModelConnection_ExternalData_7" description="Data Model" type="5" refreshedVersion="8" minRefreshableVersion="5" saveData="1">
    <dbPr connection="Data Model Connection" command="Sheet1  4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44B63FA7-EE7E-4A55-8CB8-E03CF302B6DB}" keepAlive="1" name="Query - avg_salary_by_experience_level" description="Connection to the 'avg_salary_by_experience_level' query in the workbook." type="5" refreshedVersion="8" background="1" saveData="1">
    <dbPr connection="Provider=Microsoft.Mashup.OleDb.1;Data Source=$Workbook$;Location=avg_salary_by_experience_level;Extended Properties=&quot;&quot;" command="SELECT * FROM [avg_salary_by_experience_level]"/>
  </connection>
  <connection id="10" xr16:uid="{9645445A-7A47-40CD-95CD-1A4539A3A6AB}" keepAlive="1" name="Query - avg_salary_by_experience_level (2)" description="Connection to the 'avg_salary_by_experience_level (2)' query in the workbook." type="5" refreshedVersion="8" background="1" saveData="1">
    <dbPr connection="Provider=Microsoft.Mashup.OleDb.1;Data Source=$Workbook$;Location=&quot;avg_salary_by_experience_level (2)&quot;;Extended Properties=&quot;&quot;" command="SELECT * FROM [avg_salary_by_experience_level (2)]"/>
  </connection>
  <connection id="11" xr16:uid="{5317E6D5-8CD8-4461-BF92-98A750D800CB}" keepAlive="1" name="Query - avg_salary_by_location" description="Connection to the 'avg_salary_by_location' query in the workbook." type="5" refreshedVersion="8" background="1" saveData="1">
    <dbPr connection="Provider=Microsoft.Mashup.OleDb.1;Data Source=$Workbook$;Location=avg_salary_by_location;Extended Properties=&quot;&quot;" command="SELECT * FROM [avg_salary_by_location]"/>
  </connection>
  <connection id="12" xr16:uid="{1123CBD8-E8B8-4335-9BDF-9DB0783C454D}" keepAlive="1" name="Query - avg_salary_by_location (2)" description="Connection to the 'avg_salary_by_location (2)' query in the workbook." type="5" refreshedVersion="8" background="1" saveData="1">
    <dbPr connection="Provider=Microsoft.Mashup.OleDb.1;Data Source=$Workbook$;Location=&quot;avg_salary_by_location (2)&quot;;Extended Properties=&quot;&quot;" command="SELECT * FROM [avg_salary_by_location (2)]"/>
  </connection>
  <connection id="13" xr16:uid="{19473B7C-D619-4FD5-A669-AF69275783D4}" name="Query - avg_salary_by_role" description="Connection to the 'avg_salary_by_role' query in the workbook." type="100" refreshedVersion="8" minRefreshableVersion="5">
    <extLst>
      <ext xmlns:x15="http://schemas.microsoft.com/office/spreadsheetml/2010/11/main" uri="{DE250136-89BD-433C-8126-D09CA5730AF9}">
        <x15:connection id="8c7e06c6-9007-426d-a65d-ff85444bfc60">
          <x15:oledbPr connection="Provider=Microsoft.Mashup.OleDb.1;Data Source=$Workbook$;Location=avg_salary_by_role;Extended Properties=&quot;&quot;">
            <x15:dbTables>
              <x15:dbTable name="avg_salary_by_role"/>
            </x15:dbTables>
          </x15:oledbPr>
        </x15:connection>
      </ext>
    </extLst>
  </connection>
  <connection id="14" xr16:uid="{639E2E35-C92D-487A-A248-DD11AE60382A}" name="Query - experience_level_distribution" description="Connection to the 'experience_level_distribution' query in the workbook." type="100" refreshedVersion="8" minRefreshableVersion="5">
    <extLst>
      <ext xmlns:x15="http://schemas.microsoft.com/office/spreadsheetml/2010/11/main" uri="{DE250136-89BD-433C-8126-D09CA5730AF9}">
        <x15:connection id="275e795e-27ff-40ea-bfc2-44645a0ba0fa">
          <x15:oledbPr connection="Provider=Microsoft.Mashup.OleDb.1;Data Source=$Workbook$;Location=experience_level_distribution;Extended Properties=&quot;&quot;">
            <x15:dbTables>
              <x15:dbTable name="experience_level_distribution"/>
            </x15:dbTables>
          </x15:oledbPr>
        </x15:connection>
      </ext>
    </extLst>
  </connection>
  <connection id="15" xr16:uid="{C0DE5D1D-F15C-4A6E-99F7-7F83BBAED462}" keepAlive="1" name="Query - salary_by_work_type" description="Connection to the 'salary_by_work_type' query in the workbook." type="5" refreshedVersion="8" background="1" saveData="1">
    <dbPr connection="Provider=Microsoft.Mashup.OleDb.1;Data Source=$Workbook$;Location=salary_by_work_type;Extended Properties=&quot;&quot;" command="SELECT * FROM [salary_by_work_type]"/>
  </connection>
  <connection id="16" xr16:uid="{00B68ADB-CA4B-4B93-BB99-CC61FC415964}" keepAlive="1" name="Query - salary_by_work_type (2)" description="Connection to the 'salary_by_work_type (2)' query in the workbook." type="5" refreshedVersion="8" background="1" saveData="1">
    <dbPr connection="Provider=Microsoft.Mashup.OleDb.1;Data Source=$Workbook$;Location=&quot;salary_by_work_type (2)&quot;;Extended Properties=&quot;&quot;" command="SELECT * FROM [salary_by_work_type (2)]"/>
  </connection>
  <connection id="17" xr16:uid="{048BBAE2-72D9-4220-96AA-9CF44FA12A5C}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8f112912-1503-4da1-8ff8-64173bee085f"/>
      </ext>
    </extLst>
  </connection>
  <connection id="18" xr16:uid="{46132D75-8B7B-4AEB-9915-65C474865A23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19" xr16:uid="{D4505E55-5526-4F82-AC55-FCDFDB00A92D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20" xr16:uid="{95A433F3-0070-42CD-9037-00900542CB0C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21" xr16:uid="{DC73CE81-D016-41BA-B05F-5D0D475E79C3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22" xr16:uid="{A75B4C27-22B9-42C8-8B1B-01556D899AEA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23" xr16:uid="{0B3E6F1A-1668-4317-AA98-B855ABA3E29C}" name="Query - skill_demand_by_category" description="Connection to the 'skill_demand_by_category' query in the workbook." type="100" refreshedVersion="8" minRefreshableVersion="5">
    <extLst>
      <ext xmlns:x15="http://schemas.microsoft.com/office/spreadsheetml/2010/11/main" uri="{DE250136-89BD-433C-8126-D09CA5730AF9}">
        <x15:connection id="fefe9a16-4847-462f-bc31-3ad0eb63413e"/>
      </ext>
    </extLst>
  </connection>
  <connection id="24" xr16:uid="{2B992FB4-CC24-4B4B-AC58-AD1476DF4738}" name="Query - skills_by_role_data_analyst" description="Connection to the 'skills_by_role_data_analyst' query in the workbook." type="100" refreshedVersion="8" minRefreshableVersion="5">
    <extLst>
      <ext xmlns:x15="http://schemas.microsoft.com/office/spreadsheetml/2010/11/main" uri="{DE250136-89BD-433C-8126-D09CA5730AF9}">
        <x15:connection id="4e768259-fb98-4726-9f6c-24091ade2337">
          <x15:oledbPr connection="Provider=Microsoft.Mashup.OleDb.1;Data Source=$Workbook$;Location=skills_by_role_data_analyst;Extended Properties=&quot;&quot;">
            <x15:dbTables>
              <x15:dbTable name="skills_by_role_data_analyst"/>
            </x15:dbTables>
          </x15:oledbPr>
        </x15:connection>
      </ext>
    </extLst>
  </connection>
  <connection id="25" xr16:uid="{E5D9E1DE-3518-45DE-BFC7-F0DAF4A62FAD}" name="Query - skills_by_top_10_roles" description="Connection to the 'skills_by_top_10_roles' query in the workbook." type="100" refreshedVersion="8" minRefreshableVersion="5">
    <extLst>
      <ext xmlns:x15="http://schemas.microsoft.com/office/spreadsheetml/2010/11/main" uri="{DE250136-89BD-433C-8126-D09CA5730AF9}">
        <x15:connection id="11bcc79f-28ed-41e4-be86-6caa458e6ec1">
          <x15:oledbPr connection="Provider=Microsoft.Mashup.OleDb.1;Data Source=$Workbook$;Location=skills_by_top_10_roles;Extended Properties=&quot;&quot;">
            <x15:dbTables>
              <x15:dbTable name="skills_by_top_10_roles"/>
            </x15:dbTables>
          </x15:oledbPr>
        </x15:connection>
      </ext>
    </extLst>
  </connection>
  <connection id="26" xr16:uid="{8BBA7367-E4CF-40E6-BBFB-29BFBB6D7BD7}" name="Query - top job titles" description="Connection to the 'top job titles' query in the workbook." type="100" refreshedVersion="8" minRefreshableVersion="5">
    <extLst>
      <ext xmlns:x15="http://schemas.microsoft.com/office/spreadsheetml/2010/11/main" uri="{DE250136-89BD-433C-8126-D09CA5730AF9}">
        <x15:connection id="68a2c104-7601-4d11-8b3d-409ee15df4ec">
          <x15:oledbPr connection="Provider=Microsoft.Mashup.OleDb.1;Data Source=$Workbook$;Location=&quot;top job titles&quot;;Extended Properties=&quot;&quot;">
            <x15:dbTables>
              <x15:dbTable name="top job titles"/>
            </x15:dbTables>
          </x15:oledbPr>
        </x15:connection>
      </ext>
    </extLst>
  </connection>
  <connection id="27" xr16:uid="{1961DA67-F8B9-4FF9-8BEA-1F02E98F3170}" name="Query - top_hiring_companies" description="Connection to the 'top_hiring_companies' query in the workbook." type="100" refreshedVersion="8" minRefreshableVersion="5">
    <extLst>
      <ext xmlns:x15="http://schemas.microsoft.com/office/spreadsheetml/2010/11/main" uri="{DE250136-89BD-433C-8126-D09CA5730AF9}">
        <x15:connection id="cbfb8127-b47d-4787-86ea-19fa5004a4b6">
          <x15:oledbPr connection="Provider=Microsoft.Mashup.OleDb.1;Data Source=$Workbook$;Location=top_hiring_companies;Extended Properties=&quot;&quot;">
            <x15:dbTables>
              <x15:dbTable name="top_hiring_companies"/>
            </x15:dbTables>
          </x15:oledbPr>
        </x15:connection>
      </ext>
    </extLst>
  </connection>
  <connection id="28" xr16:uid="{2E0AA55A-A173-4969-88A7-EBDF834C0C15}" name="Query - top_locations" description="Connection to the 'top_locations' query in the workbook." type="100" refreshedVersion="8" minRefreshableVersion="5">
    <extLst>
      <ext xmlns:x15="http://schemas.microsoft.com/office/spreadsheetml/2010/11/main" uri="{DE250136-89BD-433C-8126-D09CA5730AF9}">
        <x15:connection id="1a6043f8-c70d-4f9b-b691-fe9b78c9cb1b">
          <x15:oledbPr connection="Provider=Microsoft.Mashup.OleDb.1;Data Source=$Workbook$;Location=top_locations;Extended Properties=&quot;&quot;">
            <x15:dbTables>
              <x15:dbTable name="top_locations"/>
            </x15:dbTables>
          </x15:oledbPr>
        </x15:connection>
      </ext>
    </extLst>
  </connection>
  <connection id="29" xr16:uid="{EEE7A7C3-3EBA-4237-8E6F-3855B938A81E}" name="Query - top_skills" description="Connection to the 'top_skills' query in the workbook." type="100" refreshedVersion="8" minRefreshableVersion="5">
    <extLst>
      <ext xmlns:x15="http://schemas.microsoft.com/office/spreadsheetml/2010/11/main" uri="{DE250136-89BD-433C-8126-D09CA5730AF9}">
        <x15:connection id="6c0f11f3-dd5c-4429-91c7-0d96dd454db6">
          <x15:oledbPr connection="Provider=Microsoft.Mashup.OleDb.1;Data Source=$Workbook$;Location=top_skills;Extended Properties=&quot;&quot;">
            <x15:dbTables>
              <x15:dbTable name="top_skills"/>
            </x15:dbTables>
          </x15:oledbPr>
        </x15:connection>
      </ext>
    </extLst>
  </connection>
  <connection id="30" xr16:uid="{70900230-25B8-43E5-AE01-DB87EF54CBC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<sst xmlns="http://schemas.openxmlformats.org/spreadsheetml/2006/main" count="595" uniqueCount="173">
  <si>
    <t>clean_title</t>
  </si>
  <si>
    <t>job_count</t>
  </si>
  <si>
    <t>sales manager</t>
  </si>
  <si>
    <t>customer service representative</t>
  </si>
  <si>
    <t>project manager</t>
  </si>
  <si>
    <t>assistant store manager</t>
  </si>
  <si>
    <t>administrative assistant</t>
  </si>
  <si>
    <t>senior accountant</t>
  </si>
  <si>
    <t>salesperson</t>
  </si>
  <si>
    <t>executive assistant</t>
  </si>
  <si>
    <t>registered nurse</t>
  </si>
  <si>
    <t>receptionist</t>
  </si>
  <si>
    <t>staff accountant</t>
  </si>
  <si>
    <t>retail sales associate</t>
  </si>
  <si>
    <t>account executive</t>
  </si>
  <si>
    <t>sales associate</t>
  </si>
  <si>
    <t>store manager</t>
  </si>
  <si>
    <t>software engineer</t>
  </si>
  <si>
    <t>controller</t>
  </si>
  <si>
    <t>account manager</t>
  </si>
  <si>
    <t>senior software engineer</t>
  </si>
  <si>
    <t>assistant manager</t>
  </si>
  <si>
    <t>title</t>
  </si>
  <si>
    <t>avg_salary</t>
  </si>
  <si>
    <t>n</t>
  </si>
  <si>
    <t>attorney</t>
  </si>
  <si>
    <t>senior project manager</t>
  </si>
  <si>
    <t>financial controller</t>
  </si>
  <si>
    <t>full stack engineer</t>
  </si>
  <si>
    <t>tax manager</t>
  </si>
  <si>
    <t>product manager</t>
  </si>
  <si>
    <t>program manager</t>
  </si>
  <si>
    <t>finance manager</t>
  </si>
  <si>
    <t>assistant controller</t>
  </si>
  <si>
    <t>associate attorney</t>
  </si>
  <si>
    <t>construction superintendent</t>
  </si>
  <si>
    <t>business analyst</t>
  </si>
  <si>
    <t>construction project manager</t>
  </si>
  <si>
    <t>electrical engineer</t>
  </si>
  <si>
    <t>senior financial analyst</t>
  </si>
  <si>
    <t>experience_level</t>
  </si>
  <si>
    <t>Director</t>
  </si>
  <si>
    <t>Executive</t>
  </si>
  <si>
    <t>Mid-Senior level</t>
  </si>
  <si>
    <t>Not Available</t>
  </si>
  <si>
    <t>Internship</t>
  </si>
  <si>
    <t>Associate</t>
  </si>
  <si>
    <t>Entry level</t>
  </si>
  <si>
    <t>pct</t>
  </si>
  <si>
    <t>category</t>
  </si>
  <si>
    <t>demand</t>
  </si>
  <si>
    <t>Business</t>
  </si>
  <si>
    <t>Visualization</t>
  </si>
  <si>
    <t>Finance</t>
  </si>
  <si>
    <t>Programming</t>
  </si>
  <si>
    <t>Databases</t>
  </si>
  <si>
    <t>Data Science</t>
  </si>
  <si>
    <t>Cloud</t>
  </si>
  <si>
    <t>DevOps</t>
  </si>
  <si>
    <t>Web</t>
  </si>
  <si>
    <t>Operating Systems</t>
  </si>
  <si>
    <t>Marketing</t>
  </si>
  <si>
    <t>Big Data</t>
  </si>
  <si>
    <t>AI</t>
  </si>
  <si>
    <t>skill</t>
  </si>
  <si>
    <t>sql</t>
  </si>
  <si>
    <t>communication</t>
  </si>
  <si>
    <t>excel</t>
  </si>
  <si>
    <t>data analysis</t>
  </si>
  <si>
    <t>python</t>
  </si>
  <si>
    <t>statistics</t>
  </si>
  <si>
    <t>tableau</t>
  </si>
  <si>
    <t>leadership</t>
  </si>
  <si>
    <t>power bi</t>
  </si>
  <si>
    <t>agile</t>
  </si>
  <si>
    <t>machine learning</t>
  </si>
  <si>
    <t>data science</t>
  </si>
  <si>
    <t>javascript</t>
  </si>
  <si>
    <t>html</t>
  </si>
  <si>
    <t>project management</t>
  </si>
  <si>
    <t>accounting</t>
  </si>
  <si>
    <t>budgeting</t>
  </si>
  <si>
    <t>oracle</t>
  </si>
  <si>
    <t>financial analysis</t>
  </si>
  <si>
    <t>aws</t>
  </si>
  <si>
    <t>spark</t>
  </si>
  <si>
    <t>forecasting</t>
  </si>
  <si>
    <t>scrum</t>
  </si>
  <si>
    <t>azure</t>
  </si>
  <si>
    <t>generative ai</t>
  </si>
  <si>
    <t>java</t>
  </si>
  <si>
    <t>databricks</t>
  </si>
  <si>
    <t>gcp</t>
  </si>
  <si>
    <t>golang</t>
  </si>
  <si>
    <t>linux</t>
  </si>
  <si>
    <t>rag</t>
  </si>
  <si>
    <t>ruby</t>
  </si>
  <si>
    <t>social media marketing</t>
  </si>
  <si>
    <t>snowflake</t>
  </si>
  <si>
    <t>company_name</t>
  </si>
  <si>
    <t>Liberty Healthcare and Rehabilitation Services</t>
  </si>
  <si>
    <t>The Job Network</t>
  </si>
  <si>
    <t>J. Galt</t>
  </si>
  <si>
    <t>TEKsystems</t>
  </si>
  <si>
    <t>Lowe's Companies, Inc.</t>
  </si>
  <si>
    <t>Ingersoll Rand</t>
  </si>
  <si>
    <t>Capital One</t>
  </si>
  <si>
    <t>Cogent Communications</t>
  </si>
  <si>
    <t>Insight Global</t>
  </si>
  <si>
    <t>Dice</t>
  </si>
  <si>
    <t>Wells Fargo</t>
  </si>
  <si>
    <t>Circle K</t>
  </si>
  <si>
    <t>Amazon</t>
  </si>
  <si>
    <t>Macy's</t>
  </si>
  <si>
    <t>Millennium Recruiting, Inc.</t>
  </si>
  <si>
    <t>Solomon Page</t>
  </si>
  <si>
    <t>Apex Systems</t>
  </si>
  <si>
    <t>VolunteerMatch</t>
  </si>
  <si>
    <t>CareerStaff Unlimited</t>
  </si>
  <si>
    <t>location</t>
  </si>
  <si>
    <t>United States</t>
  </si>
  <si>
    <t>New York, NY</t>
  </si>
  <si>
    <t>Chicago, IL</t>
  </si>
  <si>
    <t>Houston, TX</t>
  </si>
  <si>
    <t>Dallas, TX</t>
  </si>
  <si>
    <t>Atlanta, GA</t>
  </si>
  <si>
    <t>Boston, MA</t>
  </si>
  <si>
    <t>Austin, TX</t>
  </si>
  <si>
    <t>Charlotte, NC</t>
  </si>
  <si>
    <t>Phoenix, AZ</t>
  </si>
  <si>
    <t>Washington, DC</t>
  </si>
  <si>
    <t>Los Angeles, CA</t>
  </si>
  <si>
    <t>San Francisco, CA</t>
  </si>
  <si>
    <t>New York City Metropolitan Area</t>
  </si>
  <si>
    <t>Seattle, WA</t>
  </si>
  <si>
    <t>Full-time</t>
  </si>
  <si>
    <t>Contract</t>
  </si>
  <si>
    <t>Part-time</t>
  </si>
  <si>
    <t>Temporary</t>
  </si>
  <si>
    <t>Volunteer</t>
  </si>
  <si>
    <t>Other</t>
  </si>
  <si>
    <t>formatted_experience_level</t>
  </si>
  <si>
    <t>San Mateo, CA</t>
  </si>
  <si>
    <t>Foster City, CA</t>
  </si>
  <si>
    <t>Mountain View, CA</t>
  </si>
  <si>
    <t>Rahway, NJ</t>
  </si>
  <si>
    <t>San Francisco Bay Area</t>
  </si>
  <si>
    <t>Sunnyvale, CA</t>
  </si>
  <si>
    <t>Los Gatos, CA</t>
  </si>
  <si>
    <t>Palo Alto, CA</t>
  </si>
  <si>
    <t>Stockton, CA</t>
  </si>
  <si>
    <t>Santa Clara, CA</t>
  </si>
  <si>
    <t>San Jose, CA</t>
  </si>
  <si>
    <t>Menlo Park, CA</t>
  </si>
  <si>
    <t>Reston, VA</t>
  </si>
  <si>
    <t>New York, United States</t>
  </si>
  <si>
    <t>formatted_work_type</t>
  </si>
  <si>
    <t>Row Labels</t>
  </si>
  <si>
    <t>Grand Total</t>
  </si>
  <si>
    <t>Sum of demand</t>
  </si>
  <si>
    <t>Column Labels</t>
  </si>
  <si>
    <t>Sum of job_count</t>
  </si>
  <si>
    <t>Sum of avg_salary</t>
  </si>
  <si>
    <t>Total Locations</t>
  </si>
  <si>
    <t xml:space="preserve"> Total Jobs</t>
  </si>
  <si>
    <t>Total Companies</t>
  </si>
  <si>
    <t xml:space="preserve">         </t>
  </si>
  <si>
    <t>Average Salary</t>
  </si>
  <si>
    <t xml:space="preserve"> Remote Job %</t>
  </si>
  <si>
    <t xml:space="preserve">                                           Job Market and Skill Demand Analysis</t>
  </si>
  <si>
    <t>Full-Time Job %</t>
  </si>
  <si>
    <t>Entry-Level Job %</t>
  </si>
  <si>
    <t xml:space="preserve">        Jobs with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</si>
</sst>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36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4" borderId="0" xfId="0" applyFont="1" applyFill="1" applyBorder="1"/>
    <xf numFmtId="0" fontId="0" fillId="4" borderId="0" xfId="0" applyFill="1" applyBorder="1"/>
    <xf numFmtId="0" fontId="3" fillId="4" borderId="0" xfId="0" applyFont="1" applyFill="1" applyBorder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[excel_analysis.xlsx]Skill Analysis Pivot Tables!PivotTable2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Skills by Role Data Analyst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'Skill Analysis 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'Skill Analysis Pivot Tables'!$A$2:$A$17</c:f>
              <c:strCache>
                <c:ptCount val="15"/>
                <c:pt idx="0">
                  <c:v>agile</c:v>
                </c:pt>
                <c:pt idx="1">
                  <c:v>communication</c:v>
                </c:pt>
                <c:pt idx="2">
                  <c:v>data analysis</c:v>
                </c:pt>
                <c:pt idx="3">
                  <c:v>data science</c:v>
                </c:pt>
                <c:pt idx="4">
                  <c:v>excel</c:v>
                </c:pt>
                <c:pt idx="5">
                  <c:v>html</c:v>
                </c:pt>
                <c:pt idx="6">
                  <c:v>javascript</c:v>
                </c:pt>
                <c:pt idx="7">
                  <c:v>leadership</c:v>
                </c:pt>
                <c:pt idx="8">
                  <c:v>machine learning</c:v>
                </c:pt>
                <c:pt idx="9">
                  <c:v>power bi</c:v>
                </c:pt>
                <c:pt idx="10">
                  <c:v>project management</c:v>
                </c:pt>
                <c:pt idx="11">
                  <c:v>python</c:v>
                </c:pt>
                <c:pt idx="12">
                  <c:v>sql</c:v>
                </c:pt>
                <c:pt idx="13">
                  <c:v>statistics</c:v>
                </c:pt>
                <c:pt idx="14">
                  <c:v>tableau</c:v>
                </c:pt>
              </c:strCache>
            </c:strRef>
          </c:cat>
          <c:val>
            <c:numRef>
              <c:f>'Skill Analysis Pivot Tables'!$B$2:$B$17</c:f>
              <c:numCache>
                <c:formatCode>General</c:formatCode>
                <c:ptCount val="15"/>
                <c:pt idx="0">
                  <c:v>59</c:v>
                </c:pt>
                <c:pt idx="1">
                  <c:v>156</c:v>
                </c:pt>
                <c:pt idx="2">
                  <c:v>145</c:v>
                </c:pt>
                <c:pt idx="3">
                  <c:v>49</c:v>
                </c:pt>
                <c:pt idx="4">
                  <c:v>149</c:v>
                </c:pt>
                <c:pt idx="5">
                  <c:v>40</c:v>
                </c:pt>
                <c:pt idx="6">
                  <c:v>45</c:v>
                </c:pt>
                <c:pt idx="7">
                  <c:v>81</c:v>
                </c:pt>
                <c:pt idx="8">
                  <c:v>53</c:v>
                </c:pt>
                <c:pt idx="9">
                  <c:v>63</c:v>
                </c:pt>
                <c:pt idx="10">
                  <c:v>38</c:v>
                </c:pt>
                <c:pt idx="11">
                  <c:v>141</c:v>
                </c:pt>
                <c:pt idx="12">
                  <c:v>248</c:v>
                </c:pt>
                <c:pt idx="13">
                  <c:v>87</c:v>
                </c:pt>
                <c:pt idx="1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D-43F6-AAA6-AABEE2694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0420047"/>
        <c:axId val="1460504143"/>
      </c:barChart>
      <c:catAx>
        <c:axId val="149042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04143"/>
        <c:crosses val="autoZero"/>
        <c:auto val="1"/>
        <c:lblAlgn val="ctr"/>
        <c:lblOffset val="100"/>
        <c:noMultiLvlLbl val="0"/>
      </c:catAx>
      <c:valAx>
        <c:axId val="146050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2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[excel_analysis.xlsx]Skill Analysis Pivot Tables!PivotTable1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Skill demand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'Skill Analysis Pivot Tables'!$B$19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'Skill Analysis Pivot Tables'!$A$20:$A$33</c:f>
              <c:strCache>
                <c:ptCount val="13"/>
                <c:pt idx="0">
                  <c:v>AI</c:v>
                </c:pt>
                <c:pt idx="1">
                  <c:v>Big Data</c:v>
                </c:pt>
                <c:pt idx="2">
                  <c:v>Business</c:v>
                </c:pt>
                <c:pt idx="3">
                  <c:v>Cloud</c:v>
                </c:pt>
                <c:pt idx="4">
                  <c:v>Data Science</c:v>
                </c:pt>
                <c:pt idx="5">
                  <c:v>Databases</c:v>
                </c:pt>
                <c:pt idx="6">
                  <c:v>DevOps</c:v>
                </c:pt>
                <c:pt idx="7">
                  <c:v>Finance</c:v>
                </c:pt>
                <c:pt idx="8">
                  <c:v>Marketing</c:v>
                </c:pt>
                <c:pt idx="9">
                  <c:v>Operating Systems</c:v>
                </c:pt>
                <c:pt idx="10">
                  <c:v>Programming</c:v>
                </c:pt>
                <c:pt idx="11">
                  <c:v>Visualization</c:v>
                </c:pt>
                <c:pt idx="12">
                  <c:v>Web</c:v>
                </c:pt>
              </c:strCache>
            </c:strRef>
          </c:cat>
          <c:val>
            <c:numRef>
              <c:f>'Skill Analysis Pivot Tables'!$B$20:$B$33</c:f>
              <c:numCache>
                <c:formatCode>General</c:formatCode>
                <c:ptCount val="13"/>
                <c:pt idx="0">
                  <c:v>1110</c:v>
                </c:pt>
                <c:pt idx="1">
                  <c:v>1641</c:v>
                </c:pt>
                <c:pt idx="2">
                  <c:v>106469</c:v>
                </c:pt>
                <c:pt idx="3">
                  <c:v>7459</c:v>
                </c:pt>
                <c:pt idx="4">
                  <c:v>9195</c:v>
                </c:pt>
                <c:pt idx="5">
                  <c:v>9290</c:v>
                </c:pt>
                <c:pt idx="6">
                  <c:v>4900</c:v>
                </c:pt>
                <c:pt idx="7">
                  <c:v>15429</c:v>
                </c:pt>
                <c:pt idx="8">
                  <c:v>1656</c:v>
                </c:pt>
                <c:pt idx="9">
                  <c:v>2409</c:v>
                </c:pt>
                <c:pt idx="10">
                  <c:v>11364</c:v>
                </c:pt>
                <c:pt idx="11">
                  <c:v>20448</c:v>
                </c:pt>
                <c:pt idx="12">
                  <c:v>4354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1-42FD-82E7-38656C893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0468303"/>
        <c:axId val="1460507503"/>
      </c:barChart>
      <c:catAx>
        <c:axId val="1490468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07503"/>
        <c:crosses val="autoZero"/>
        <c:auto val="1"/>
        <c:lblAlgn val="ctr"/>
        <c:lblOffset val="100"/>
        <c:noMultiLvlLbl val="0"/>
      </c:catAx>
      <c:valAx>
        <c:axId val="146050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6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[excel_analysis.xlsx]Skill Analysis Pivot Tables!PivotTable4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Skills</a:t>
            </a:r>
            <a:r>
              <a:rPr lang="en-IN" baseline="0"/>
              <a:t> by Top 10 Roles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'Skill Analysis Pivot Tables'!$B$35:$B$36</c:f>
              <c:strCache>
                <c:ptCount val="1"/>
                <c:pt idx="0">
                  <c:v>accounting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Tables'!$B$37:$B$47</c:f>
              <c:numCache>
                <c:formatCode>General</c:formatCode>
                <c:ptCount val="10"/>
                <c:pt idx="0">
                  <c:v>35</c:v>
                </c:pt>
                <c:pt idx="1">
                  <c:v>2</c:v>
                </c:pt>
                <c:pt idx="2">
                  <c:v>16</c:v>
                </c:pt>
                <c:pt idx="3">
                  <c:v>12</c:v>
                </c:pt>
                <c:pt idx="4">
                  <c:v>17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A-4204-8796-D3E9599EBA5C}"/>
            </c:ext>
          </c:extLst>
        </c:ser>
        <c:ser>
          <c:idx val="1"/>
          <c:order val="1"/>
          <c:tx>
            <c:strRef>
              <c:f>'Skill Analysis Pivot Tables'!$C$35:$C$36</c:f>
              <c:strCache>
                <c:ptCount val="1"/>
                <c:pt idx="0">
                  <c:v>agile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Tables'!$C$37:$C$47</c:f>
              <c:numCache>
                <c:formatCode>General</c:formatCode>
                <c:ptCount val="10"/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56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A-4204-8796-D3E9599EBA5C}"/>
            </c:ext>
          </c:extLst>
        </c:ser>
        <c:ser>
          <c:idx val="2"/>
          <c:order val="2"/>
          <c:tx>
            <c:strRef>
              <c:f>'Skill Analysis Pivot Tables'!$D$35:$D$36</c:f>
              <c:strCache>
                <c:ptCount val="1"/>
                <c:pt idx="0">
                  <c:v>aws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Tables'!$D$37:$D$47</c:f>
              <c:numCache>
                <c:formatCode>General</c:formatCode>
                <c:ptCount val="10"/>
                <c:pt idx="0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BA-4204-8796-D3E9599EBA5C}"/>
            </c:ext>
          </c:extLst>
        </c:ser>
        <c:ser>
          <c:idx val="3"/>
          <c:order val="3"/>
          <c:tx>
            <c:strRef>
              <c:f>'Skill Analysis Pivot Tables'!$E$35:$E$36</c:f>
              <c:strCache>
                <c:ptCount val="1"/>
                <c:pt idx="0">
                  <c:v>azure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Tables'!$E$37:$E$47</c:f>
              <c:numCache>
                <c:formatCode>General</c:formatCode>
                <c:ptCount val="10"/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BA-4204-8796-D3E9599EBA5C}"/>
            </c:ext>
          </c:extLst>
        </c:ser>
        <c:ser>
          <c:idx val="4"/>
          <c:order val="4"/>
          <c:tx>
            <c:strRef>
              <c:f>'Skill Analysis Pivot Tables'!$F$35:$F$36</c:f>
              <c:strCache>
                <c:ptCount val="1"/>
                <c:pt idx="0">
                  <c:v>budgeting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Tables'!$F$37:$F$47</c:f>
              <c:numCache>
                <c:formatCode>General</c:formatCode>
                <c:ptCount val="10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30</c:v>
                </c:pt>
                <c:pt idx="7">
                  <c:v>1</c:v>
                </c:pt>
                <c:pt idx="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BA-4204-8796-D3E9599EBA5C}"/>
            </c:ext>
          </c:extLst>
        </c:ser>
        <c:ser>
          <c:idx val="5"/>
          <c:order val="5"/>
          <c:tx>
            <c:strRef>
              <c:f>'Skill Analysis Pivot Tables'!$G$35:$G$36</c:f>
              <c:strCache>
                <c:ptCount val="1"/>
                <c:pt idx="0">
                  <c:v>communication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Tables'!$G$37:$G$47</c:f>
              <c:numCache>
                <c:formatCode>General</c:formatCode>
                <c:ptCount val="10"/>
                <c:pt idx="0">
                  <c:v>171</c:v>
                </c:pt>
                <c:pt idx="1">
                  <c:v>226</c:v>
                </c:pt>
                <c:pt idx="2">
                  <c:v>294</c:v>
                </c:pt>
                <c:pt idx="3">
                  <c:v>180</c:v>
                </c:pt>
                <c:pt idx="4">
                  <c:v>237</c:v>
                </c:pt>
                <c:pt idx="5">
                  <c:v>39</c:v>
                </c:pt>
                <c:pt idx="6">
                  <c:v>52</c:v>
                </c:pt>
                <c:pt idx="7">
                  <c:v>644</c:v>
                </c:pt>
                <c:pt idx="8">
                  <c:v>80</c:v>
                </c:pt>
                <c:pt idx="9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BA-4204-8796-D3E9599EBA5C}"/>
            </c:ext>
          </c:extLst>
        </c:ser>
        <c:ser>
          <c:idx val="6"/>
          <c:order val="6"/>
          <c:tx>
            <c:strRef>
              <c:f>'Skill Analysis Pivot Tables'!$H$35:$H$36</c:f>
              <c:strCache>
                <c:ptCount val="1"/>
                <c:pt idx="0">
                  <c:v>data analysis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Tables'!$H$37:$H$47</c:f>
              <c:numCache>
                <c:formatCode>General</c:formatCode>
                <c:ptCount val="10"/>
                <c:pt idx="0">
                  <c:v>3</c:v>
                </c:pt>
                <c:pt idx="3">
                  <c:v>2</c:v>
                </c:pt>
                <c:pt idx="4">
                  <c:v>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BA-4204-8796-D3E9599EBA5C}"/>
            </c:ext>
          </c:extLst>
        </c:ser>
        <c:ser>
          <c:idx val="7"/>
          <c:order val="7"/>
          <c:tx>
            <c:strRef>
              <c:f>'Skill Analysis Pivot Tables'!$I$35:$I$36</c:f>
              <c:strCache>
                <c:ptCount val="1"/>
                <c:pt idx="0">
                  <c:v>data science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Tables'!$I$37:$I$47</c:f>
              <c:numCache>
                <c:formatCode>General</c:formatCode>
                <c:ptCount val="10"/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BA-4204-8796-D3E9599EBA5C}"/>
            </c:ext>
          </c:extLst>
        </c:ser>
        <c:ser>
          <c:idx val="8"/>
          <c:order val="8"/>
          <c:tx>
            <c:strRef>
              <c:f>'Skill Analysis Pivot Tables'!$J$35:$J$36</c:f>
              <c:strCache>
                <c:ptCount val="1"/>
                <c:pt idx="0">
                  <c:v>databricks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Tables'!$J$37:$J$47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BA-4204-8796-D3E9599EBA5C}"/>
            </c:ext>
          </c:extLst>
        </c:ser>
        <c:ser>
          <c:idx val="9"/>
          <c:order val="9"/>
          <c:tx>
            <c:strRef>
              <c:f>'Skill Analysis Pivot Tables'!$K$35:$K$36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Tables'!$K$37:$K$47</c:f>
              <c:numCache>
                <c:formatCode>General</c:formatCode>
                <c:ptCount val="10"/>
                <c:pt idx="0">
                  <c:v>108</c:v>
                </c:pt>
                <c:pt idx="1">
                  <c:v>9</c:v>
                </c:pt>
                <c:pt idx="2">
                  <c:v>78</c:v>
                </c:pt>
                <c:pt idx="3">
                  <c:v>76</c:v>
                </c:pt>
                <c:pt idx="4">
                  <c:v>70</c:v>
                </c:pt>
                <c:pt idx="5">
                  <c:v>17</c:v>
                </c:pt>
                <c:pt idx="6">
                  <c:v>2</c:v>
                </c:pt>
                <c:pt idx="7">
                  <c:v>11</c:v>
                </c:pt>
                <c:pt idx="8">
                  <c:v>4</c:v>
                </c:pt>
                <c:pt idx="9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BA-4204-8796-D3E9599EBA5C}"/>
            </c:ext>
          </c:extLst>
        </c:ser>
        <c:ser>
          <c:idx val="10"/>
          <c:order val="10"/>
          <c:tx>
            <c:strRef>
              <c:f>'Skill Analysis Pivot Tables'!$L$35:$L$36</c:f>
              <c:strCache>
                <c:ptCount val="1"/>
                <c:pt idx="0">
                  <c:v>financial analysis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Tables'!$L$37:$L$47</c:f>
              <c:numCache>
                <c:formatCode>General</c:formatCode>
                <c:ptCount val="10"/>
                <c:pt idx="0">
                  <c:v>1</c:v>
                </c:pt>
                <c:pt idx="4">
                  <c:v>2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BA-4204-8796-D3E9599EBA5C}"/>
            </c:ext>
          </c:extLst>
        </c:ser>
        <c:ser>
          <c:idx val="11"/>
          <c:order val="11"/>
          <c:tx>
            <c:strRef>
              <c:f>'Skill Analysis Pivot Tables'!$M$35:$M$36</c:f>
              <c:strCache>
                <c:ptCount val="1"/>
                <c:pt idx="0">
                  <c:v>forecasting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Tables'!$M$37:$M$47</c:f>
              <c:numCache>
                <c:formatCode>General</c:formatCode>
                <c:ptCount val="10"/>
                <c:pt idx="1">
                  <c:v>2</c:v>
                </c:pt>
                <c:pt idx="3">
                  <c:v>1</c:v>
                </c:pt>
                <c:pt idx="4">
                  <c:v>14</c:v>
                </c:pt>
                <c:pt idx="7">
                  <c:v>7</c:v>
                </c:pt>
                <c:pt idx="8">
                  <c:v>2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8BA-4204-8796-D3E9599EBA5C}"/>
            </c:ext>
          </c:extLst>
        </c:ser>
        <c:ser>
          <c:idx val="12"/>
          <c:order val="12"/>
          <c:tx>
            <c:strRef>
              <c:f>'Skill Analysis Pivot Tables'!$N$35:$N$36</c:f>
              <c:strCache>
                <c:ptCount val="1"/>
                <c:pt idx="0">
                  <c:v>gcp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Tables'!$N$37:$N$47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BA-4204-8796-D3E9599EBA5C}"/>
            </c:ext>
          </c:extLst>
        </c:ser>
        <c:ser>
          <c:idx val="13"/>
          <c:order val="13"/>
          <c:tx>
            <c:strRef>
              <c:f>'Skill Analysis Pivot Tables'!$O$35:$O$36</c:f>
              <c:strCache>
                <c:ptCount val="1"/>
                <c:pt idx="0">
                  <c:v>generative ai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Tables'!$O$37:$O$47</c:f>
              <c:numCache>
                <c:formatCode>General</c:formatCode>
                <c:ptCount val="10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8BA-4204-8796-D3E9599EBA5C}"/>
            </c:ext>
          </c:extLst>
        </c:ser>
        <c:ser>
          <c:idx val="14"/>
          <c:order val="14"/>
          <c:tx>
            <c:strRef>
              <c:f>'Skill Analysis Pivot Tables'!$P$35:$P$36</c:f>
              <c:strCache>
                <c:ptCount val="1"/>
                <c:pt idx="0">
                  <c:v>golang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Tables'!$P$37:$P$47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8BA-4204-8796-D3E9599EBA5C}"/>
            </c:ext>
          </c:extLst>
        </c:ser>
        <c:ser>
          <c:idx val="15"/>
          <c:order val="15"/>
          <c:tx>
            <c:strRef>
              <c:f>'Skill Analysis Pivot Tables'!$Q$35:$Q$36</c:f>
              <c:strCache>
                <c:ptCount val="1"/>
                <c:pt idx="0">
                  <c:v>html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Tables'!$Q$37:$Q$47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8BA-4204-8796-D3E9599EBA5C}"/>
            </c:ext>
          </c:extLst>
        </c:ser>
        <c:ser>
          <c:idx val="16"/>
          <c:order val="16"/>
          <c:tx>
            <c:strRef>
              <c:f>'Skill Analysis Pivot Tables'!$R$35:$R$36</c:f>
              <c:strCache>
                <c:ptCount val="1"/>
                <c:pt idx="0">
                  <c:v>java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Tables'!$R$37:$R$47</c:f>
              <c:numCache>
                <c:formatCode>General</c:formatCode>
                <c:ptCount val="10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8BA-4204-8796-D3E9599EBA5C}"/>
            </c:ext>
          </c:extLst>
        </c:ser>
        <c:ser>
          <c:idx val="17"/>
          <c:order val="17"/>
          <c:tx>
            <c:strRef>
              <c:f>'Skill Analysis Pivot Tables'!$S$35:$S$36</c:f>
              <c:strCache>
                <c:ptCount val="1"/>
                <c:pt idx="0">
                  <c:v>leadership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Tables'!$S$37:$S$47</c:f>
              <c:numCache>
                <c:formatCode>General</c:formatCode>
                <c:ptCount val="10"/>
                <c:pt idx="0">
                  <c:v>25</c:v>
                </c:pt>
                <c:pt idx="1">
                  <c:v>96</c:v>
                </c:pt>
                <c:pt idx="2">
                  <c:v>84</c:v>
                </c:pt>
                <c:pt idx="3">
                  <c:v>60</c:v>
                </c:pt>
                <c:pt idx="4">
                  <c:v>150</c:v>
                </c:pt>
                <c:pt idx="5">
                  <c:v>15</c:v>
                </c:pt>
                <c:pt idx="6">
                  <c:v>12</c:v>
                </c:pt>
                <c:pt idx="7">
                  <c:v>36</c:v>
                </c:pt>
                <c:pt idx="8">
                  <c:v>11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8BA-4204-8796-D3E9599EBA5C}"/>
            </c:ext>
          </c:extLst>
        </c:ser>
        <c:ser>
          <c:idx val="18"/>
          <c:order val="18"/>
          <c:tx>
            <c:strRef>
              <c:f>'Skill Analysis Pivot Tables'!$T$35:$T$36</c:f>
              <c:strCache>
                <c:ptCount val="1"/>
                <c:pt idx="0">
                  <c:v>linux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Tables'!$T$37:$T$47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8BA-4204-8796-D3E9599EBA5C}"/>
            </c:ext>
          </c:extLst>
        </c:ser>
        <c:ser>
          <c:idx val="19"/>
          <c:order val="19"/>
          <c:tx>
            <c:strRef>
              <c:f>'Skill Analysis Pivot Tables'!$U$35:$U$36</c:f>
              <c:strCache>
                <c:ptCount val="1"/>
                <c:pt idx="0">
                  <c:v>machine learning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Tables'!$U$37:$U$47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8BA-4204-8796-D3E9599EBA5C}"/>
            </c:ext>
          </c:extLst>
        </c:ser>
        <c:ser>
          <c:idx val="20"/>
          <c:order val="20"/>
          <c:tx>
            <c:strRef>
              <c:f>'Skill Analysis Pivot Tables'!$V$35:$V$36</c:f>
              <c:strCache>
                <c:ptCount val="1"/>
                <c:pt idx="0">
                  <c:v>oracle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Tables'!$V$37:$V$47</c:f>
              <c:numCache>
                <c:formatCode>General</c:formatCode>
                <c:ptCount val="10"/>
                <c:pt idx="0">
                  <c:v>6</c:v>
                </c:pt>
                <c:pt idx="2">
                  <c:v>5</c:v>
                </c:pt>
                <c:pt idx="4">
                  <c:v>4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8BA-4204-8796-D3E9599EBA5C}"/>
            </c:ext>
          </c:extLst>
        </c:ser>
        <c:ser>
          <c:idx val="21"/>
          <c:order val="21"/>
          <c:tx>
            <c:strRef>
              <c:f>'Skill Analysis Pivot Tables'!$W$35:$W$36</c:f>
              <c:strCache>
                <c:ptCount val="1"/>
                <c:pt idx="0">
                  <c:v>power bi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Tables'!$W$37:$W$47</c:f>
              <c:numCache>
                <c:formatCode>General</c:formatCode>
                <c:ptCount val="10"/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8BA-4204-8796-D3E9599EBA5C}"/>
            </c:ext>
          </c:extLst>
        </c:ser>
        <c:ser>
          <c:idx val="22"/>
          <c:order val="22"/>
          <c:tx>
            <c:strRef>
              <c:f>'Skill Analysis Pivot Tables'!$X$35:$X$36</c:f>
              <c:strCache>
                <c:ptCount val="1"/>
                <c:pt idx="0">
                  <c:v>project management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Tables'!$X$37:$X$47</c:f>
              <c:numCache>
                <c:formatCode>General</c:formatCode>
                <c:ptCount val="10"/>
                <c:pt idx="0">
                  <c:v>11</c:v>
                </c:pt>
                <c:pt idx="2">
                  <c:v>1</c:v>
                </c:pt>
                <c:pt idx="3">
                  <c:v>19</c:v>
                </c:pt>
                <c:pt idx="4">
                  <c:v>253</c:v>
                </c:pt>
                <c:pt idx="6">
                  <c:v>2</c:v>
                </c:pt>
                <c:pt idx="7">
                  <c:v>4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8BA-4204-8796-D3E9599EBA5C}"/>
            </c:ext>
          </c:extLst>
        </c:ser>
        <c:ser>
          <c:idx val="23"/>
          <c:order val="23"/>
          <c:tx>
            <c:strRef>
              <c:f>'Skill Analysis Pivot Tables'!$Y$35:$Y$36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Tables'!$Y$37:$Y$47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8BA-4204-8796-D3E9599EBA5C}"/>
            </c:ext>
          </c:extLst>
        </c:ser>
        <c:ser>
          <c:idx val="24"/>
          <c:order val="24"/>
          <c:tx>
            <c:strRef>
              <c:f>'Skill Analysis Pivot Tables'!$Z$35:$Z$36</c:f>
              <c:strCache>
                <c:ptCount val="1"/>
                <c:pt idx="0">
                  <c:v>rag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Tables'!$Z$37:$Z$47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8BA-4204-8796-D3E9599EBA5C}"/>
            </c:ext>
          </c:extLst>
        </c:ser>
        <c:ser>
          <c:idx val="25"/>
          <c:order val="25"/>
          <c:tx>
            <c:strRef>
              <c:f>'Skill Analysis Pivot Tables'!$AA$35:$AA$36</c:f>
              <c:strCache>
                <c:ptCount val="1"/>
                <c:pt idx="0">
                  <c:v>ruby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Tables'!$AA$37:$AA$47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8BA-4204-8796-D3E9599EBA5C}"/>
            </c:ext>
          </c:extLst>
        </c:ser>
        <c:ser>
          <c:idx val="26"/>
          <c:order val="26"/>
          <c:tx>
            <c:strRef>
              <c:f>'Skill Analysis Pivot Tables'!$AB$35:$AB$36</c:f>
              <c:strCache>
                <c:ptCount val="1"/>
                <c:pt idx="0">
                  <c:v>scrum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Tables'!$AB$37:$AB$47</c:f>
              <c:numCache>
                <c:formatCode>General</c:formatCode>
                <c:ptCount val="10"/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8BA-4204-8796-D3E9599EBA5C}"/>
            </c:ext>
          </c:extLst>
        </c:ser>
        <c:ser>
          <c:idx val="27"/>
          <c:order val="27"/>
          <c:tx>
            <c:strRef>
              <c:f>'Skill Analysis Pivot Tables'!$AC$35:$AC$36</c:f>
              <c:strCache>
                <c:ptCount val="1"/>
                <c:pt idx="0">
                  <c:v>snowflake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Tables'!$AC$37:$AC$47</c:f>
              <c:numCache>
                <c:formatCode>General</c:formatCode>
                <c:ptCount val="10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8BA-4204-8796-D3E9599EBA5C}"/>
            </c:ext>
          </c:extLst>
        </c:ser>
        <c:ser>
          <c:idx val="28"/>
          <c:order val="28"/>
          <c:tx>
            <c:strRef>
              <c:f>'Skill Analysis Pivot Tables'!$AD$35:$AD$36</c:f>
              <c:strCache>
                <c:ptCount val="1"/>
                <c:pt idx="0">
                  <c:v>social media marketing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Tables'!$AD$37:$AD$47</c:f>
              <c:numCache>
                <c:formatCode>General</c:formatCode>
                <c:ptCount val="10"/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8BA-4204-8796-D3E9599EBA5C}"/>
            </c:ext>
          </c:extLst>
        </c:ser>
        <c:ser>
          <c:idx val="29"/>
          <c:order val="29"/>
          <c:tx>
            <c:strRef>
              <c:f>'Skill Analysis Pivot Tables'!$AE$35:$AE$36</c:f>
              <c:strCache>
                <c:ptCount val="1"/>
                <c:pt idx="0">
                  <c:v>spark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Tables'!$AE$37:$AE$47</c:f>
              <c:numCache>
                <c:formatCode>General</c:formatCode>
                <c:ptCount val="10"/>
                <c:pt idx="1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8BA-4204-8796-D3E9599EBA5C}"/>
            </c:ext>
          </c:extLst>
        </c:ser>
        <c:ser>
          <c:idx val="30"/>
          <c:order val="30"/>
          <c:tx>
            <c:strRef>
              <c:f>'Skill Analysis Pivot Tables'!$AF$35:$AF$36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Tables'!$AF$37:$AF$47</c:f>
              <c:numCache>
                <c:formatCode>General</c:formatCode>
                <c:ptCount val="10"/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8BA-4204-8796-D3E9599EBA5C}"/>
            </c:ext>
          </c:extLst>
        </c:ser>
        <c:ser>
          <c:idx val="31"/>
          <c:order val="31"/>
          <c:tx>
            <c:strRef>
              <c:f>'Skill Analysis Pivot Tables'!$AG$35:$AG$36</c:f>
              <c:strCache>
                <c:ptCount val="1"/>
                <c:pt idx="0">
                  <c:v>statistics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Tables'!$AG$37:$AG$47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7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8BA-4204-8796-D3E9599EBA5C}"/>
            </c:ext>
          </c:extLst>
        </c:ser>
        <c:ser>
          <c:idx val="32"/>
          <c:order val="32"/>
          <c:tx>
            <c:strRef>
              <c:f>'Skill Analysis Pivot Tables'!$AH$35:$AH$36</c:f>
              <c:strCache>
                <c:ptCount val="1"/>
                <c:pt idx="0">
                  <c:v>tableau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Tables'!$AH$37:$AH$47</c:f>
              <c:numCache>
                <c:formatCode>General</c:formatCode>
                <c:ptCount val="10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8BA-4204-8796-D3E9599EB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336063"/>
        <c:axId val="1460605423"/>
      </c:areaChart>
      <c:catAx>
        <c:axId val="149033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605423"/>
        <c:crosses val="autoZero"/>
        <c:auto val="1"/>
        <c:lblAlgn val="ctr"/>
        <c:lblOffset val="100"/>
        <c:noMultiLvlLbl val="0"/>
      </c:catAx>
      <c:valAx>
        <c:axId val="146060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3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[excel_analysis.xlsx]Skill Analysis Pivot Tables!PivotTable5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Skills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'Skill Analysis Pivot Tables'!$E$1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'Skill Analysis Pivot Tables'!$D$2:$D$22</c:f>
              <c:strCache>
                <c:ptCount val="20"/>
                <c:pt idx="0">
                  <c:v>accounting</c:v>
                </c:pt>
                <c:pt idx="1">
                  <c:v>agile</c:v>
                </c:pt>
                <c:pt idx="2">
                  <c:v>aws</c:v>
                </c:pt>
                <c:pt idx="3">
                  <c:v>azure</c:v>
                </c:pt>
                <c:pt idx="4">
                  <c:v>budgeting</c:v>
                </c:pt>
                <c:pt idx="5">
                  <c:v>communication</c:v>
                </c:pt>
                <c:pt idx="6">
                  <c:v>data analysis</c:v>
                </c:pt>
                <c:pt idx="7">
                  <c:v>excel</c:v>
                </c:pt>
                <c:pt idx="8">
                  <c:v>forecasting</c:v>
                </c:pt>
                <c:pt idx="9">
                  <c:v>java</c:v>
                </c:pt>
                <c:pt idx="10">
                  <c:v>javascript</c:v>
                </c:pt>
                <c:pt idx="11">
                  <c:v>leadership</c:v>
                </c:pt>
                <c:pt idx="12">
                  <c:v>linux</c:v>
                </c:pt>
                <c:pt idx="13">
                  <c:v>machine learning</c:v>
                </c:pt>
                <c:pt idx="14">
                  <c:v>oracle</c:v>
                </c:pt>
                <c:pt idx="15">
                  <c:v>project management</c:v>
                </c:pt>
                <c:pt idx="16">
                  <c:v>python</c:v>
                </c:pt>
                <c:pt idx="17">
                  <c:v>scrum</c:v>
                </c:pt>
                <c:pt idx="18">
                  <c:v>sql</c:v>
                </c:pt>
                <c:pt idx="19">
                  <c:v>statistics</c:v>
                </c:pt>
              </c:strCache>
            </c:strRef>
          </c:cat>
          <c:val>
            <c:numRef>
              <c:f>'Skill Analysis Pivot Tables'!$E$2:$E$22</c:f>
              <c:numCache>
                <c:formatCode>General</c:formatCode>
                <c:ptCount val="20"/>
                <c:pt idx="0">
                  <c:v>8799</c:v>
                </c:pt>
                <c:pt idx="1">
                  <c:v>5931</c:v>
                </c:pt>
                <c:pt idx="2">
                  <c:v>3148</c:v>
                </c:pt>
                <c:pt idx="3">
                  <c:v>2905</c:v>
                </c:pt>
                <c:pt idx="4">
                  <c:v>2427</c:v>
                </c:pt>
                <c:pt idx="5">
                  <c:v>59773</c:v>
                </c:pt>
                <c:pt idx="6">
                  <c:v>3196</c:v>
                </c:pt>
                <c:pt idx="7">
                  <c:v>18079</c:v>
                </c:pt>
                <c:pt idx="8">
                  <c:v>2945</c:v>
                </c:pt>
                <c:pt idx="9">
                  <c:v>2660</c:v>
                </c:pt>
                <c:pt idx="10">
                  <c:v>1957</c:v>
                </c:pt>
                <c:pt idx="11">
                  <c:v>29228</c:v>
                </c:pt>
                <c:pt idx="12">
                  <c:v>1693</c:v>
                </c:pt>
                <c:pt idx="13">
                  <c:v>1707</c:v>
                </c:pt>
                <c:pt idx="14">
                  <c:v>2331</c:v>
                </c:pt>
                <c:pt idx="15">
                  <c:v>9981</c:v>
                </c:pt>
                <c:pt idx="16">
                  <c:v>4642</c:v>
                </c:pt>
                <c:pt idx="17">
                  <c:v>1556</c:v>
                </c:pt>
                <c:pt idx="18">
                  <c:v>5150</c:v>
                </c:pt>
                <c:pt idx="19">
                  <c:v>1956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7-49AA-95C5-B543715FB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8474927"/>
        <c:axId val="1460564143"/>
      </c:barChart>
      <c:catAx>
        <c:axId val="1528474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64143"/>
        <c:crosses val="autoZero"/>
        <c:auto val="1"/>
        <c:lblAlgn val="ctr"/>
        <c:lblOffset val="100"/>
        <c:noMultiLvlLbl val="0"/>
      </c:catAx>
      <c:valAx>
        <c:axId val="146056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7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[excel_analysis.xlsx]Location Analysis 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Locations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'Location Analysis 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'Location Analysis Pivot Table'!$A$2:$A$17</c:f>
              <c:strCache>
                <c:ptCount val="15"/>
                <c:pt idx="0">
                  <c:v>Atlanta, GA</c:v>
                </c:pt>
                <c:pt idx="1">
                  <c:v>Austin, TX</c:v>
                </c:pt>
                <c:pt idx="2">
                  <c:v>Boston, MA</c:v>
                </c:pt>
                <c:pt idx="3">
                  <c:v>Charlotte, NC</c:v>
                </c:pt>
                <c:pt idx="4">
                  <c:v>Chicago, IL</c:v>
                </c:pt>
                <c:pt idx="5">
                  <c:v>Dallas, TX</c:v>
                </c:pt>
                <c:pt idx="6">
                  <c:v>Houston, TX</c:v>
                </c:pt>
                <c:pt idx="7">
                  <c:v>Los Angeles, CA</c:v>
                </c:pt>
                <c:pt idx="8">
                  <c:v>New York City Metropolitan Area</c:v>
                </c:pt>
                <c:pt idx="9">
                  <c:v>New York, NY</c:v>
                </c:pt>
                <c:pt idx="10">
                  <c:v>Phoenix, AZ</c:v>
                </c:pt>
                <c:pt idx="11">
                  <c:v>San Francisco, CA</c:v>
                </c:pt>
                <c:pt idx="12">
                  <c:v>Seattle, WA</c:v>
                </c:pt>
                <c:pt idx="13">
                  <c:v>United States</c:v>
                </c:pt>
                <c:pt idx="14">
                  <c:v>Washington, DC</c:v>
                </c:pt>
              </c:strCache>
            </c:strRef>
          </c:cat>
          <c:val>
            <c:numRef>
              <c:f>'Location Analysis Pivot Table'!$B$2:$B$17</c:f>
              <c:numCache>
                <c:formatCode>General</c:formatCode>
                <c:ptCount val="15"/>
                <c:pt idx="0">
                  <c:v>1363</c:v>
                </c:pt>
                <c:pt idx="1">
                  <c:v>1083</c:v>
                </c:pt>
                <c:pt idx="2">
                  <c:v>1176</c:v>
                </c:pt>
                <c:pt idx="3">
                  <c:v>1075</c:v>
                </c:pt>
                <c:pt idx="4">
                  <c:v>1834</c:v>
                </c:pt>
                <c:pt idx="5">
                  <c:v>1383</c:v>
                </c:pt>
                <c:pt idx="6">
                  <c:v>1762</c:v>
                </c:pt>
                <c:pt idx="7">
                  <c:v>972</c:v>
                </c:pt>
                <c:pt idx="8">
                  <c:v>837</c:v>
                </c:pt>
                <c:pt idx="9">
                  <c:v>2756</c:v>
                </c:pt>
                <c:pt idx="10">
                  <c:v>1059</c:v>
                </c:pt>
                <c:pt idx="11">
                  <c:v>884</c:v>
                </c:pt>
                <c:pt idx="12">
                  <c:v>818</c:v>
                </c:pt>
                <c:pt idx="13">
                  <c:v>8125</c:v>
                </c:pt>
                <c:pt idx="14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9-4E55-B095-CCBE0D799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8316239"/>
        <c:axId val="1537653871"/>
      </c:barChart>
      <c:catAx>
        <c:axId val="152831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653871"/>
        <c:crosses val="autoZero"/>
        <c:auto val="1"/>
        <c:lblAlgn val="ctr"/>
        <c:lblOffset val="100"/>
        <c:noMultiLvlLbl val="0"/>
      </c:catAx>
      <c:valAx>
        <c:axId val="153765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1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[excel_analysis.xlsx]Location Analysis Pivot Table!PivotTable7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Salary by Location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'Location Analysis Pivot Table'!$E$1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'Location Analysis Pivot Table'!$D$2:$D$17</c:f>
              <c:strCache>
                <c:ptCount val="15"/>
                <c:pt idx="0">
                  <c:v>Foster City, CA</c:v>
                </c:pt>
                <c:pt idx="1">
                  <c:v>Los Gatos, CA</c:v>
                </c:pt>
                <c:pt idx="2">
                  <c:v>Menlo Park, CA</c:v>
                </c:pt>
                <c:pt idx="3">
                  <c:v>Mountain View, CA</c:v>
                </c:pt>
                <c:pt idx="4">
                  <c:v>New York, United States</c:v>
                </c:pt>
                <c:pt idx="5">
                  <c:v>Palo Alto, CA</c:v>
                </c:pt>
                <c:pt idx="6">
                  <c:v>Rahway, NJ</c:v>
                </c:pt>
                <c:pt idx="7">
                  <c:v>Reston, VA</c:v>
                </c:pt>
                <c:pt idx="8">
                  <c:v>San Francisco Bay Area</c:v>
                </c:pt>
                <c:pt idx="9">
                  <c:v>San Francisco, CA</c:v>
                </c:pt>
                <c:pt idx="10">
                  <c:v>San Jose, CA</c:v>
                </c:pt>
                <c:pt idx="11">
                  <c:v>San Mateo, CA</c:v>
                </c:pt>
                <c:pt idx="12">
                  <c:v>Santa Clara, CA</c:v>
                </c:pt>
                <c:pt idx="13">
                  <c:v>Stockton, CA</c:v>
                </c:pt>
                <c:pt idx="14">
                  <c:v>Sunnyvale, CA</c:v>
                </c:pt>
              </c:strCache>
            </c:strRef>
          </c:cat>
          <c:val>
            <c:numRef>
              <c:f>'Location Analysis Pivot Table'!$E$2:$E$17</c:f>
              <c:numCache>
                <c:formatCode>General</c:formatCode>
                <c:ptCount val="15"/>
                <c:pt idx="0">
                  <c:v>178323</c:v>
                </c:pt>
                <c:pt idx="1">
                  <c:v>149048</c:v>
                </c:pt>
                <c:pt idx="2">
                  <c:v>142121</c:v>
                </c:pt>
                <c:pt idx="3">
                  <c:v>163085</c:v>
                </c:pt>
                <c:pt idx="4">
                  <c:v>140753</c:v>
                </c:pt>
                <c:pt idx="5">
                  <c:v>146503</c:v>
                </c:pt>
                <c:pt idx="6">
                  <c:v>158828</c:v>
                </c:pt>
                <c:pt idx="7">
                  <c:v>142027</c:v>
                </c:pt>
                <c:pt idx="8">
                  <c:v>155311</c:v>
                </c:pt>
                <c:pt idx="9">
                  <c:v>139403</c:v>
                </c:pt>
                <c:pt idx="10">
                  <c:v>144306</c:v>
                </c:pt>
                <c:pt idx="11">
                  <c:v>199605</c:v>
                </c:pt>
                <c:pt idx="12">
                  <c:v>145272</c:v>
                </c:pt>
                <c:pt idx="13">
                  <c:v>146210</c:v>
                </c:pt>
                <c:pt idx="14">
                  <c:v>153622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B0-445E-B074-D7164EED8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687359"/>
        <c:axId val="1537544911"/>
      </c:lineChart>
      <c:catAx>
        <c:axId val="154668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544911"/>
        <c:crosses val="autoZero"/>
        <c:auto val="1"/>
        <c:lblAlgn val="ctr"/>
        <c:lblOffset val="100"/>
        <c:noMultiLvlLbl val="0"/>
      </c:catAx>
      <c:valAx>
        <c:axId val="153754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8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[excel_analysis.xlsx]Salary Analysis Pivot Table!PivotTable9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Salary by Experience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'Salary Analysis Pivot Table'!$E$1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5E-41EC-8762-DC8654E3F0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5E-41EC-8762-DC8654E3F0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5E-41EC-8762-DC8654E3F0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5E-41EC-8762-DC8654E3F0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95E-41EC-8762-DC8654E3F0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95E-41EC-8762-DC8654E3F0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'Salary Analysis Pivot Table'!$D$2:$D$8</c:f>
              <c:strCache>
                <c:ptCount val="6"/>
                <c:pt idx="0">
                  <c:v>Associate</c:v>
                </c:pt>
                <c:pt idx="1">
                  <c:v>Director</c:v>
                </c:pt>
                <c:pt idx="2">
                  <c:v>Entry level</c:v>
                </c:pt>
                <c:pt idx="3">
                  <c:v>Executive</c:v>
                </c:pt>
                <c:pt idx="4">
                  <c:v>Internship</c:v>
                </c:pt>
                <c:pt idx="5">
                  <c:v>Mid-Senior level</c:v>
                </c:pt>
              </c:strCache>
            </c:strRef>
          </c:cat>
          <c:val>
            <c:numRef>
              <c:f>'Salary Analysis Pivot Table'!$E$2:$E$8</c:f>
              <c:numCache>
                <c:formatCode>General</c:formatCode>
                <c:ptCount val="6"/>
                <c:pt idx="0">
                  <c:v>83113</c:v>
                </c:pt>
                <c:pt idx="1">
                  <c:v>170657</c:v>
                </c:pt>
                <c:pt idx="2">
                  <c:v>65231</c:v>
                </c:pt>
                <c:pt idx="3">
                  <c:v>196770</c:v>
                </c:pt>
                <c:pt idx="4">
                  <c:v>53161</c:v>
                </c:pt>
                <c:pt idx="5">
                  <c:v>113108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95E-41EC-8762-DC8654E3F0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[excel_analysis.xlsx]Salary Analysis Pivot Table!PivotTable10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Salary by Work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Analysis Pivot Table'!$E$10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'Salary Analysis Pivot Table'!$D$11:$D$18</c:f>
              <c:strCache>
                <c:ptCount val="7"/>
                <c:pt idx="0">
                  <c:v>Contract</c:v>
                </c:pt>
                <c:pt idx="1">
                  <c:v>Full-time</c:v>
                </c:pt>
                <c:pt idx="2">
                  <c:v>Internship</c:v>
                </c:pt>
                <c:pt idx="3">
                  <c:v>Other</c:v>
                </c:pt>
                <c:pt idx="4">
                  <c:v>Part-time</c:v>
                </c:pt>
                <c:pt idx="5">
                  <c:v>Temporary</c:v>
                </c:pt>
                <c:pt idx="6">
                  <c:v>Volunteer</c:v>
                </c:pt>
              </c:strCache>
            </c:strRef>
          </c:cat>
          <c:val>
            <c:numRef>
              <c:f>'Salary Analysis Pivot Table'!$E$11:$E$18</c:f>
              <c:numCache>
                <c:formatCode>General</c:formatCode>
                <c:ptCount val="7"/>
                <c:pt idx="0">
                  <c:v>102679</c:v>
                </c:pt>
                <c:pt idx="1">
                  <c:v>98406</c:v>
                </c:pt>
                <c:pt idx="2">
                  <c:v>54850</c:v>
                </c:pt>
                <c:pt idx="3">
                  <c:v>76583</c:v>
                </c:pt>
                <c:pt idx="4">
                  <c:v>59853</c:v>
                </c:pt>
                <c:pt idx="5">
                  <c:v>74561</c:v>
                </c:pt>
                <c:pt idx="6">
                  <c:v>46788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1-4512-9662-5D48E802D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3468880"/>
        <c:axId val="1537605391"/>
      </c:barChart>
      <c:catAx>
        <c:axId val="69346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605391"/>
        <c:crosses val="autoZero"/>
        <c:auto val="1"/>
        <c:lblAlgn val="ctr"/>
        <c:lblOffset val="100"/>
        <c:noMultiLvlLbl val="0"/>
      </c:catAx>
      <c:valAx>
        <c:axId val="15376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6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[excel_analysis.xlsx]Salary Analysis Pivot Table!PivotTable8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Salary by Role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Analysis 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'Salary Analysis Pivot Table'!$A$2:$A$22</c:f>
              <c:strCache>
                <c:ptCount val="20"/>
                <c:pt idx="0">
                  <c:v>assistant controller</c:v>
                </c:pt>
                <c:pt idx="1">
                  <c:v>associate attorney</c:v>
                </c:pt>
                <c:pt idx="2">
                  <c:v>attorney</c:v>
                </c:pt>
                <c:pt idx="3">
                  <c:v>business analyst</c:v>
                </c:pt>
                <c:pt idx="4">
                  <c:v>construction project manager</c:v>
                </c:pt>
                <c:pt idx="5">
                  <c:v>construction superintendent</c:v>
                </c:pt>
                <c:pt idx="6">
                  <c:v>controller</c:v>
                </c:pt>
                <c:pt idx="7">
                  <c:v>electrical engineer</c:v>
                </c:pt>
                <c:pt idx="8">
                  <c:v>finance manager</c:v>
                </c:pt>
                <c:pt idx="9">
                  <c:v>financial controller</c:v>
                </c:pt>
                <c:pt idx="10">
                  <c:v>full stack engineer</c:v>
                </c:pt>
                <c:pt idx="11">
                  <c:v>product manager</c:v>
                </c:pt>
                <c:pt idx="12">
                  <c:v>program manager</c:v>
                </c:pt>
                <c:pt idx="13">
                  <c:v>project manager</c:v>
                </c:pt>
                <c:pt idx="14">
                  <c:v>sales manager</c:v>
                </c:pt>
                <c:pt idx="15">
                  <c:v>senior financial analyst</c:v>
                </c:pt>
                <c:pt idx="16">
                  <c:v>senior project manager</c:v>
                </c:pt>
                <c:pt idx="17">
                  <c:v>senior software engineer</c:v>
                </c:pt>
                <c:pt idx="18">
                  <c:v>software engineer</c:v>
                </c:pt>
                <c:pt idx="19">
                  <c:v>tax manager</c:v>
                </c:pt>
              </c:strCache>
            </c:strRef>
          </c:cat>
          <c:val>
            <c:numRef>
              <c:f>'Salary Analysis Pivot Table'!$B$2:$B$22</c:f>
              <c:numCache>
                <c:formatCode>General</c:formatCode>
                <c:ptCount val="20"/>
                <c:pt idx="0">
                  <c:v>122580</c:v>
                </c:pt>
                <c:pt idx="1">
                  <c:v>122370</c:v>
                </c:pt>
                <c:pt idx="2">
                  <c:v>152929</c:v>
                </c:pt>
                <c:pt idx="3">
                  <c:v>113165</c:v>
                </c:pt>
                <c:pt idx="4">
                  <c:v>112969</c:v>
                </c:pt>
                <c:pt idx="5">
                  <c:v>114732</c:v>
                </c:pt>
                <c:pt idx="6">
                  <c:v>138431</c:v>
                </c:pt>
                <c:pt idx="7">
                  <c:v>111858</c:v>
                </c:pt>
                <c:pt idx="8">
                  <c:v>123266</c:v>
                </c:pt>
                <c:pt idx="9">
                  <c:v>139843</c:v>
                </c:pt>
                <c:pt idx="10">
                  <c:v>137374</c:v>
                </c:pt>
                <c:pt idx="11">
                  <c:v>128046</c:v>
                </c:pt>
                <c:pt idx="12">
                  <c:v>126874</c:v>
                </c:pt>
                <c:pt idx="13">
                  <c:v>111407</c:v>
                </c:pt>
                <c:pt idx="14">
                  <c:v>118504</c:v>
                </c:pt>
                <c:pt idx="15">
                  <c:v>107521</c:v>
                </c:pt>
                <c:pt idx="16">
                  <c:v>142617</c:v>
                </c:pt>
                <c:pt idx="17">
                  <c:v>165161</c:v>
                </c:pt>
                <c:pt idx="18">
                  <c:v>149497</c:v>
                </c:pt>
                <c:pt idx="19">
                  <c:v>133396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C-45CF-A059-E487EF1EF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6782479"/>
        <c:axId val="835536527"/>
      </c:barChart>
      <c:catAx>
        <c:axId val="154678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536527"/>
        <c:crosses val="autoZero"/>
        <c:auto val="1"/>
        <c:lblAlgn val="ctr"/>
        <c:lblOffset val="100"/>
        <c:noMultiLvlLbl val="0"/>
      </c:catAx>
      <c:valAx>
        <c:axId val="83553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78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[excel_analysis.xlsx]Skill Analysis 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Skills by Role Data Analyst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'Skill Analysis 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'Skill Analysis Pivot Tables'!$A$2:$A$17</c:f>
              <c:strCache>
                <c:ptCount val="15"/>
                <c:pt idx="0">
                  <c:v>agile</c:v>
                </c:pt>
                <c:pt idx="1">
                  <c:v>communication</c:v>
                </c:pt>
                <c:pt idx="2">
                  <c:v>data analysis</c:v>
                </c:pt>
                <c:pt idx="3">
                  <c:v>data science</c:v>
                </c:pt>
                <c:pt idx="4">
                  <c:v>excel</c:v>
                </c:pt>
                <c:pt idx="5">
                  <c:v>html</c:v>
                </c:pt>
                <c:pt idx="6">
                  <c:v>javascript</c:v>
                </c:pt>
                <c:pt idx="7">
                  <c:v>leadership</c:v>
                </c:pt>
                <c:pt idx="8">
                  <c:v>machine learning</c:v>
                </c:pt>
                <c:pt idx="9">
                  <c:v>power bi</c:v>
                </c:pt>
                <c:pt idx="10">
                  <c:v>project management</c:v>
                </c:pt>
                <c:pt idx="11">
                  <c:v>python</c:v>
                </c:pt>
                <c:pt idx="12">
                  <c:v>sql</c:v>
                </c:pt>
                <c:pt idx="13">
                  <c:v>statistics</c:v>
                </c:pt>
                <c:pt idx="14">
                  <c:v>tableau</c:v>
                </c:pt>
              </c:strCache>
            </c:strRef>
          </c:cat>
          <c:val>
            <c:numRef>
              <c:f>'Skill Analysis Pivot Tables'!$B$2:$B$17</c:f>
              <c:numCache>
                <c:formatCode>General</c:formatCode>
                <c:ptCount val="15"/>
                <c:pt idx="0">
                  <c:v>59</c:v>
                </c:pt>
                <c:pt idx="1">
                  <c:v>156</c:v>
                </c:pt>
                <c:pt idx="2">
                  <c:v>145</c:v>
                </c:pt>
                <c:pt idx="3">
                  <c:v>49</c:v>
                </c:pt>
                <c:pt idx="4">
                  <c:v>149</c:v>
                </c:pt>
                <c:pt idx="5">
                  <c:v>40</c:v>
                </c:pt>
                <c:pt idx="6">
                  <c:v>45</c:v>
                </c:pt>
                <c:pt idx="7">
                  <c:v>81</c:v>
                </c:pt>
                <c:pt idx="8">
                  <c:v>53</c:v>
                </c:pt>
                <c:pt idx="9">
                  <c:v>63</c:v>
                </c:pt>
                <c:pt idx="10">
                  <c:v>38</c:v>
                </c:pt>
                <c:pt idx="11">
                  <c:v>141</c:v>
                </c:pt>
                <c:pt idx="12">
                  <c:v>248</c:v>
                </c:pt>
                <c:pt idx="13">
                  <c:v>87</c:v>
                </c:pt>
                <c:pt idx="1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9-4AAB-8719-CF1ABC2A3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0420047"/>
        <c:axId val="1460504143"/>
      </c:barChart>
      <c:catAx>
        <c:axId val="149042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04143"/>
        <c:crosses val="autoZero"/>
        <c:auto val="1"/>
        <c:lblAlgn val="ctr"/>
        <c:lblOffset val="100"/>
        <c:noMultiLvlLbl val="0"/>
      </c:catAx>
      <c:valAx>
        <c:axId val="146050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2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[excel_analysis.xlsx]Skill Analysis 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Skill demand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'Skill Analysis Pivot Tables'!$B$19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'Skill Analysis Pivot Tables'!$A$20:$A$33</c:f>
              <c:strCache>
                <c:ptCount val="13"/>
                <c:pt idx="0">
                  <c:v>AI</c:v>
                </c:pt>
                <c:pt idx="1">
                  <c:v>Big Data</c:v>
                </c:pt>
                <c:pt idx="2">
                  <c:v>Business</c:v>
                </c:pt>
                <c:pt idx="3">
                  <c:v>Cloud</c:v>
                </c:pt>
                <c:pt idx="4">
                  <c:v>Data Science</c:v>
                </c:pt>
                <c:pt idx="5">
                  <c:v>Databases</c:v>
                </c:pt>
                <c:pt idx="6">
                  <c:v>DevOps</c:v>
                </c:pt>
                <c:pt idx="7">
                  <c:v>Finance</c:v>
                </c:pt>
                <c:pt idx="8">
                  <c:v>Marketing</c:v>
                </c:pt>
                <c:pt idx="9">
                  <c:v>Operating Systems</c:v>
                </c:pt>
                <c:pt idx="10">
                  <c:v>Programming</c:v>
                </c:pt>
                <c:pt idx="11">
                  <c:v>Visualization</c:v>
                </c:pt>
                <c:pt idx="12">
                  <c:v>Web</c:v>
                </c:pt>
              </c:strCache>
            </c:strRef>
          </c:cat>
          <c:val>
            <c:numRef>
              <c:f>'Skill Analysis Pivot Tables'!$B$20:$B$33</c:f>
              <c:numCache>
                <c:formatCode>General</c:formatCode>
                <c:ptCount val="13"/>
                <c:pt idx="0">
                  <c:v>1110</c:v>
                </c:pt>
                <c:pt idx="1">
                  <c:v>1641</c:v>
                </c:pt>
                <c:pt idx="2">
                  <c:v>106469</c:v>
                </c:pt>
                <c:pt idx="3">
                  <c:v>7459</c:v>
                </c:pt>
                <c:pt idx="4">
                  <c:v>9195</c:v>
                </c:pt>
                <c:pt idx="5">
                  <c:v>9290</c:v>
                </c:pt>
                <c:pt idx="6">
                  <c:v>4900</c:v>
                </c:pt>
                <c:pt idx="7">
                  <c:v>15429</c:v>
                </c:pt>
                <c:pt idx="8">
                  <c:v>1656</c:v>
                </c:pt>
                <c:pt idx="9">
                  <c:v>2409</c:v>
                </c:pt>
                <c:pt idx="10">
                  <c:v>11364</c:v>
                </c:pt>
                <c:pt idx="11">
                  <c:v>20448</c:v>
                </c:pt>
                <c:pt idx="12">
                  <c:v>4354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D-4A23-8D6D-1E513A522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0468303"/>
        <c:axId val="1460507503"/>
      </c:barChart>
      <c:catAx>
        <c:axId val="1490468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07503"/>
        <c:crosses val="autoZero"/>
        <c:auto val="1"/>
        <c:lblAlgn val="ctr"/>
        <c:lblOffset val="100"/>
        <c:noMultiLvlLbl val="0"/>
      </c:catAx>
      <c:valAx>
        <c:axId val="146050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6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[excel_analysis.xlsx]Skill Analysis Pivot Tables!PivotTable4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Skills</a:t>
            </a:r>
            <a:r>
              <a:rPr lang="en-IN" baseline="0"/>
              <a:t> by Top 10 Roles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'Skill Analysis Pivot Tables'!$B$35:$B$36</c:f>
              <c:strCache>
                <c:ptCount val="1"/>
                <c:pt idx="0">
                  <c:v>accounting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Tables'!$B$37:$B$47</c:f>
              <c:numCache>
                <c:formatCode>General</c:formatCode>
                <c:ptCount val="10"/>
                <c:pt idx="0">
                  <c:v>35</c:v>
                </c:pt>
                <c:pt idx="1">
                  <c:v>2</c:v>
                </c:pt>
                <c:pt idx="2">
                  <c:v>16</c:v>
                </c:pt>
                <c:pt idx="3">
                  <c:v>12</c:v>
                </c:pt>
                <c:pt idx="4">
                  <c:v>17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9-4E9D-8630-566D7CED4BE1}"/>
            </c:ext>
          </c:extLst>
        </c:ser>
        <c:ser>
          <c:idx val="1"/>
          <c:order val="1"/>
          <c:tx>
            <c:strRef>
              <c:f>'Skill Analysis Pivot Tables'!$C$35:$C$36</c:f>
              <c:strCache>
                <c:ptCount val="1"/>
                <c:pt idx="0">
                  <c:v>agile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Tables'!$C$37:$C$47</c:f>
              <c:numCache>
                <c:formatCode>General</c:formatCode>
                <c:ptCount val="10"/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56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89-4E9D-8630-566D7CED4BE1}"/>
            </c:ext>
          </c:extLst>
        </c:ser>
        <c:ser>
          <c:idx val="2"/>
          <c:order val="2"/>
          <c:tx>
            <c:strRef>
              <c:f>'Skill Analysis Pivot Tables'!$D$35:$D$36</c:f>
              <c:strCache>
                <c:ptCount val="1"/>
                <c:pt idx="0">
                  <c:v>aws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Tables'!$D$37:$D$47</c:f>
              <c:numCache>
                <c:formatCode>General</c:formatCode>
                <c:ptCount val="10"/>
                <c:pt idx="0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89-4E9D-8630-566D7CED4BE1}"/>
            </c:ext>
          </c:extLst>
        </c:ser>
        <c:ser>
          <c:idx val="3"/>
          <c:order val="3"/>
          <c:tx>
            <c:strRef>
              <c:f>'Skill Analysis Pivot Tables'!$E$35:$E$36</c:f>
              <c:strCache>
                <c:ptCount val="1"/>
                <c:pt idx="0">
                  <c:v>azure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Tables'!$E$37:$E$47</c:f>
              <c:numCache>
                <c:formatCode>General</c:formatCode>
                <c:ptCount val="10"/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89-4E9D-8630-566D7CED4BE1}"/>
            </c:ext>
          </c:extLst>
        </c:ser>
        <c:ser>
          <c:idx val="4"/>
          <c:order val="4"/>
          <c:tx>
            <c:strRef>
              <c:f>'Skill Analysis Pivot Tables'!$F$35:$F$36</c:f>
              <c:strCache>
                <c:ptCount val="1"/>
                <c:pt idx="0">
                  <c:v>budgeting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Tables'!$F$37:$F$47</c:f>
              <c:numCache>
                <c:formatCode>General</c:formatCode>
                <c:ptCount val="10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30</c:v>
                </c:pt>
                <c:pt idx="7">
                  <c:v>1</c:v>
                </c:pt>
                <c:pt idx="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89-4E9D-8630-566D7CED4BE1}"/>
            </c:ext>
          </c:extLst>
        </c:ser>
        <c:ser>
          <c:idx val="5"/>
          <c:order val="5"/>
          <c:tx>
            <c:strRef>
              <c:f>'Skill Analysis Pivot Tables'!$G$35:$G$36</c:f>
              <c:strCache>
                <c:ptCount val="1"/>
                <c:pt idx="0">
                  <c:v>communication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Tables'!$G$37:$G$47</c:f>
              <c:numCache>
                <c:formatCode>General</c:formatCode>
                <c:ptCount val="10"/>
                <c:pt idx="0">
                  <c:v>171</c:v>
                </c:pt>
                <c:pt idx="1">
                  <c:v>226</c:v>
                </c:pt>
                <c:pt idx="2">
                  <c:v>294</c:v>
                </c:pt>
                <c:pt idx="3">
                  <c:v>180</c:v>
                </c:pt>
                <c:pt idx="4">
                  <c:v>237</c:v>
                </c:pt>
                <c:pt idx="5">
                  <c:v>39</c:v>
                </c:pt>
                <c:pt idx="6">
                  <c:v>52</c:v>
                </c:pt>
                <c:pt idx="7">
                  <c:v>644</c:v>
                </c:pt>
                <c:pt idx="8">
                  <c:v>80</c:v>
                </c:pt>
                <c:pt idx="9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89-4E9D-8630-566D7CED4BE1}"/>
            </c:ext>
          </c:extLst>
        </c:ser>
        <c:ser>
          <c:idx val="6"/>
          <c:order val="6"/>
          <c:tx>
            <c:strRef>
              <c:f>'Skill Analysis Pivot Tables'!$H$35:$H$36</c:f>
              <c:strCache>
                <c:ptCount val="1"/>
                <c:pt idx="0">
                  <c:v>data analysis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Tables'!$H$37:$H$47</c:f>
              <c:numCache>
                <c:formatCode>General</c:formatCode>
                <c:ptCount val="10"/>
                <c:pt idx="0">
                  <c:v>3</c:v>
                </c:pt>
                <c:pt idx="3">
                  <c:v>2</c:v>
                </c:pt>
                <c:pt idx="4">
                  <c:v>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89-4E9D-8630-566D7CED4BE1}"/>
            </c:ext>
          </c:extLst>
        </c:ser>
        <c:ser>
          <c:idx val="7"/>
          <c:order val="7"/>
          <c:tx>
            <c:strRef>
              <c:f>'Skill Analysis Pivot Tables'!$I$35:$I$36</c:f>
              <c:strCache>
                <c:ptCount val="1"/>
                <c:pt idx="0">
                  <c:v>data science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Tables'!$I$37:$I$47</c:f>
              <c:numCache>
                <c:formatCode>General</c:formatCode>
                <c:ptCount val="10"/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89-4E9D-8630-566D7CED4BE1}"/>
            </c:ext>
          </c:extLst>
        </c:ser>
        <c:ser>
          <c:idx val="8"/>
          <c:order val="8"/>
          <c:tx>
            <c:strRef>
              <c:f>'Skill Analysis Pivot Tables'!$J$35:$J$36</c:f>
              <c:strCache>
                <c:ptCount val="1"/>
                <c:pt idx="0">
                  <c:v>databricks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Tables'!$J$37:$J$47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89-4E9D-8630-566D7CED4BE1}"/>
            </c:ext>
          </c:extLst>
        </c:ser>
        <c:ser>
          <c:idx val="9"/>
          <c:order val="9"/>
          <c:tx>
            <c:strRef>
              <c:f>'Skill Analysis Pivot Tables'!$K$35:$K$36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Tables'!$K$37:$K$47</c:f>
              <c:numCache>
                <c:formatCode>General</c:formatCode>
                <c:ptCount val="10"/>
                <c:pt idx="0">
                  <c:v>108</c:v>
                </c:pt>
                <c:pt idx="1">
                  <c:v>9</c:v>
                </c:pt>
                <c:pt idx="2">
                  <c:v>78</c:v>
                </c:pt>
                <c:pt idx="3">
                  <c:v>76</c:v>
                </c:pt>
                <c:pt idx="4">
                  <c:v>70</c:v>
                </c:pt>
                <c:pt idx="5">
                  <c:v>17</c:v>
                </c:pt>
                <c:pt idx="6">
                  <c:v>2</c:v>
                </c:pt>
                <c:pt idx="7">
                  <c:v>11</c:v>
                </c:pt>
                <c:pt idx="8">
                  <c:v>4</c:v>
                </c:pt>
                <c:pt idx="9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89-4E9D-8630-566D7CED4BE1}"/>
            </c:ext>
          </c:extLst>
        </c:ser>
        <c:ser>
          <c:idx val="10"/>
          <c:order val="10"/>
          <c:tx>
            <c:strRef>
              <c:f>'Skill Analysis Pivot Tables'!$L$35:$L$36</c:f>
              <c:strCache>
                <c:ptCount val="1"/>
                <c:pt idx="0">
                  <c:v>financial analysis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Tables'!$L$37:$L$47</c:f>
              <c:numCache>
                <c:formatCode>General</c:formatCode>
                <c:ptCount val="10"/>
                <c:pt idx="0">
                  <c:v>1</c:v>
                </c:pt>
                <c:pt idx="4">
                  <c:v>2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89-4E9D-8630-566D7CED4BE1}"/>
            </c:ext>
          </c:extLst>
        </c:ser>
        <c:ser>
          <c:idx val="11"/>
          <c:order val="11"/>
          <c:tx>
            <c:strRef>
              <c:f>'Skill Analysis Pivot Tables'!$M$35:$M$36</c:f>
              <c:strCache>
                <c:ptCount val="1"/>
                <c:pt idx="0">
                  <c:v>forecasting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Tables'!$M$37:$M$47</c:f>
              <c:numCache>
                <c:formatCode>General</c:formatCode>
                <c:ptCount val="10"/>
                <c:pt idx="1">
                  <c:v>2</c:v>
                </c:pt>
                <c:pt idx="3">
                  <c:v>1</c:v>
                </c:pt>
                <c:pt idx="4">
                  <c:v>14</c:v>
                </c:pt>
                <c:pt idx="7">
                  <c:v>7</c:v>
                </c:pt>
                <c:pt idx="8">
                  <c:v>2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189-4E9D-8630-566D7CED4BE1}"/>
            </c:ext>
          </c:extLst>
        </c:ser>
        <c:ser>
          <c:idx val="12"/>
          <c:order val="12"/>
          <c:tx>
            <c:strRef>
              <c:f>'Skill Analysis Pivot Tables'!$N$35:$N$36</c:f>
              <c:strCache>
                <c:ptCount val="1"/>
                <c:pt idx="0">
                  <c:v>gcp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Tables'!$N$37:$N$47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89-4E9D-8630-566D7CED4BE1}"/>
            </c:ext>
          </c:extLst>
        </c:ser>
        <c:ser>
          <c:idx val="13"/>
          <c:order val="13"/>
          <c:tx>
            <c:strRef>
              <c:f>'Skill Analysis Pivot Tables'!$O$35:$O$36</c:f>
              <c:strCache>
                <c:ptCount val="1"/>
                <c:pt idx="0">
                  <c:v>generative ai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Tables'!$O$37:$O$47</c:f>
              <c:numCache>
                <c:formatCode>General</c:formatCode>
                <c:ptCount val="10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189-4E9D-8630-566D7CED4BE1}"/>
            </c:ext>
          </c:extLst>
        </c:ser>
        <c:ser>
          <c:idx val="14"/>
          <c:order val="14"/>
          <c:tx>
            <c:strRef>
              <c:f>'Skill Analysis Pivot Tables'!$P$35:$P$36</c:f>
              <c:strCache>
                <c:ptCount val="1"/>
                <c:pt idx="0">
                  <c:v>golang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Tables'!$P$37:$P$47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189-4E9D-8630-566D7CED4BE1}"/>
            </c:ext>
          </c:extLst>
        </c:ser>
        <c:ser>
          <c:idx val="15"/>
          <c:order val="15"/>
          <c:tx>
            <c:strRef>
              <c:f>'Skill Analysis Pivot Tables'!$Q$35:$Q$36</c:f>
              <c:strCache>
                <c:ptCount val="1"/>
                <c:pt idx="0">
                  <c:v>html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Tables'!$Q$37:$Q$47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189-4E9D-8630-566D7CED4BE1}"/>
            </c:ext>
          </c:extLst>
        </c:ser>
        <c:ser>
          <c:idx val="16"/>
          <c:order val="16"/>
          <c:tx>
            <c:strRef>
              <c:f>'Skill Analysis Pivot Tables'!$R$35:$R$36</c:f>
              <c:strCache>
                <c:ptCount val="1"/>
                <c:pt idx="0">
                  <c:v>java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Tables'!$R$37:$R$47</c:f>
              <c:numCache>
                <c:formatCode>General</c:formatCode>
                <c:ptCount val="10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189-4E9D-8630-566D7CED4BE1}"/>
            </c:ext>
          </c:extLst>
        </c:ser>
        <c:ser>
          <c:idx val="17"/>
          <c:order val="17"/>
          <c:tx>
            <c:strRef>
              <c:f>'Skill Analysis Pivot Tables'!$S$35:$S$36</c:f>
              <c:strCache>
                <c:ptCount val="1"/>
                <c:pt idx="0">
                  <c:v>leadership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Tables'!$S$37:$S$47</c:f>
              <c:numCache>
                <c:formatCode>General</c:formatCode>
                <c:ptCount val="10"/>
                <c:pt idx="0">
                  <c:v>25</c:v>
                </c:pt>
                <c:pt idx="1">
                  <c:v>96</c:v>
                </c:pt>
                <c:pt idx="2">
                  <c:v>84</c:v>
                </c:pt>
                <c:pt idx="3">
                  <c:v>60</c:v>
                </c:pt>
                <c:pt idx="4">
                  <c:v>150</c:v>
                </c:pt>
                <c:pt idx="5">
                  <c:v>15</c:v>
                </c:pt>
                <c:pt idx="6">
                  <c:v>12</c:v>
                </c:pt>
                <c:pt idx="7">
                  <c:v>36</c:v>
                </c:pt>
                <c:pt idx="8">
                  <c:v>11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189-4E9D-8630-566D7CED4BE1}"/>
            </c:ext>
          </c:extLst>
        </c:ser>
        <c:ser>
          <c:idx val="18"/>
          <c:order val="18"/>
          <c:tx>
            <c:strRef>
              <c:f>'Skill Analysis Pivot Tables'!$T$35:$T$36</c:f>
              <c:strCache>
                <c:ptCount val="1"/>
                <c:pt idx="0">
                  <c:v>linux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Tables'!$T$37:$T$47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189-4E9D-8630-566D7CED4BE1}"/>
            </c:ext>
          </c:extLst>
        </c:ser>
        <c:ser>
          <c:idx val="19"/>
          <c:order val="19"/>
          <c:tx>
            <c:strRef>
              <c:f>'Skill Analysis Pivot Tables'!$U$35:$U$36</c:f>
              <c:strCache>
                <c:ptCount val="1"/>
                <c:pt idx="0">
                  <c:v>machine learning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Tables'!$U$37:$U$47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189-4E9D-8630-566D7CED4BE1}"/>
            </c:ext>
          </c:extLst>
        </c:ser>
        <c:ser>
          <c:idx val="20"/>
          <c:order val="20"/>
          <c:tx>
            <c:strRef>
              <c:f>'Skill Analysis Pivot Tables'!$V$35:$V$36</c:f>
              <c:strCache>
                <c:ptCount val="1"/>
                <c:pt idx="0">
                  <c:v>oracle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Tables'!$V$37:$V$47</c:f>
              <c:numCache>
                <c:formatCode>General</c:formatCode>
                <c:ptCount val="10"/>
                <c:pt idx="0">
                  <c:v>6</c:v>
                </c:pt>
                <c:pt idx="2">
                  <c:v>5</c:v>
                </c:pt>
                <c:pt idx="4">
                  <c:v>4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189-4E9D-8630-566D7CED4BE1}"/>
            </c:ext>
          </c:extLst>
        </c:ser>
        <c:ser>
          <c:idx val="21"/>
          <c:order val="21"/>
          <c:tx>
            <c:strRef>
              <c:f>'Skill Analysis Pivot Tables'!$W$35:$W$36</c:f>
              <c:strCache>
                <c:ptCount val="1"/>
                <c:pt idx="0">
                  <c:v>power bi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Tables'!$W$37:$W$47</c:f>
              <c:numCache>
                <c:formatCode>General</c:formatCode>
                <c:ptCount val="10"/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189-4E9D-8630-566D7CED4BE1}"/>
            </c:ext>
          </c:extLst>
        </c:ser>
        <c:ser>
          <c:idx val="22"/>
          <c:order val="22"/>
          <c:tx>
            <c:strRef>
              <c:f>'Skill Analysis Pivot Tables'!$X$35:$X$36</c:f>
              <c:strCache>
                <c:ptCount val="1"/>
                <c:pt idx="0">
                  <c:v>project management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Tables'!$X$37:$X$47</c:f>
              <c:numCache>
                <c:formatCode>General</c:formatCode>
                <c:ptCount val="10"/>
                <c:pt idx="0">
                  <c:v>11</c:v>
                </c:pt>
                <c:pt idx="2">
                  <c:v>1</c:v>
                </c:pt>
                <c:pt idx="3">
                  <c:v>19</c:v>
                </c:pt>
                <c:pt idx="4">
                  <c:v>253</c:v>
                </c:pt>
                <c:pt idx="6">
                  <c:v>2</c:v>
                </c:pt>
                <c:pt idx="7">
                  <c:v>4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189-4E9D-8630-566D7CED4BE1}"/>
            </c:ext>
          </c:extLst>
        </c:ser>
        <c:ser>
          <c:idx val="23"/>
          <c:order val="23"/>
          <c:tx>
            <c:strRef>
              <c:f>'Skill Analysis Pivot Tables'!$Y$35:$Y$36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Tables'!$Y$37:$Y$47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189-4E9D-8630-566D7CED4BE1}"/>
            </c:ext>
          </c:extLst>
        </c:ser>
        <c:ser>
          <c:idx val="24"/>
          <c:order val="24"/>
          <c:tx>
            <c:strRef>
              <c:f>'Skill Analysis Pivot Tables'!$Z$35:$Z$36</c:f>
              <c:strCache>
                <c:ptCount val="1"/>
                <c:pt idx="0">
                  <c:v>rag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Tables'!$Z$37:$Z$47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189-4E9D-8630-566D7CED4BE1}"/>
            </c:ext>
          </c:extLst>
        </c:ser>
        <c:ser>
          <c:idx val="25"/>
          <c:order val="25"/>
          <c:tx>
            <c:strRef>
              <c:f>'Skill Analysis Pivot Tables'!$AA$35:$AA$36</c:f>
              <c:strCache>
                <c:ptCount val="1"/>
                <c:pt idx="0">
                  <c:v>ruby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Tables'!$AA$37:$AA$47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189-4E9D-8630-566D7CED4BE1}"/>
            </c:ext>
          </c:extLst>
        </c:ser>
        <c:ser>
          <c:idx val="26"/>
          <c:order val="26"/>
          <c:tx>
            <c:strRef>
              <c:f>'Skill Analysis Pivot Tables'!$AB$35:$AB$36</c:f>
              <c:strCache>
                <c:ptCount val="1"/>
                <c:pt idx="0">
                  <c:v>scrum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Tables'!$AB$37:$AB$47</c:f>
              <c:numCache>
                <c:formatCode>General</c:formatCode>
                <c:ptCount val="10"/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189-4E9D-8630-566D7CED4BE1}"/>
            </c:ext>
          </c:extLst>
        </c:ser>
        <c:ser>
          <c:idx val="27"/>
          <c:order val="27"/>
          <c:tx>
            <c:strRef>
              <c:f>'Skill Analysis Pivot Tables'!$AC$35:$AC$36</c:f>
              <c:strCache>
                <c:ptCount val="1"/>
                <c:pt idx="0">
                  <c:v>snowflake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Tables'!$AC$37:$AC$47</c:f>
              <c:numCache>
                <c:formatCode>General</c:formatCode>
                <c:ptCount val="10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189-4E9D-8630-566D7CED4BE1}"/>
            </c:ext>
          </c:extLst>
        </c:ser>
        <c:ser>
          <c:idx val="28"/>
          <c:order val="28"/>
          <c:tx>
            <c:strRef>
              <c:f>'Skill Analysis Pivot Tables'!$AD$35:$AD$36</c:f>
              <c:strCache>
                <c:ptCount val="1"/>
                <c:pt idx="0">
                  <c:v>social media marketing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Tables'!$AD$37:$AD$47</c:f>
              <c:numCache>
                <c:formatCode>General</c:formatCode>
                <c:ptCount val="10"/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189-4E9D-8630-566D7CED4BE1}"/>
            </c:ext>
          </c:extLst>
        </c:ser>
        <c:ser>
          <c:idx val="29"/>
          <c:order val="29"/>
          <c:tx>
            <c:strRef>
              <c:f>'Skill Analysis Pivot Tables'!$AE$35:$AE$36</c:f>
              <c:strCache>
                <c:ptCount val="1"/>
                <c:pt idx="0">
                  <c:v>spark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Tables'!$AE$37:$AE$47</c:f>
              <c:numCache>
                <c:formatCode>General</c:formatCode>
                <c:ptCount val="10"/>
                <c:pt idx="1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189-4E9D-8630-566D7CED4BE1}"/>
            </c:ext>
          </c:extLst>
        </c:ser>
        <c:ser>
          <c:idx val="30"/>
          <c:order val="30"/>
          <c:tx>
            <c:strRef>
              <c:f>'Skill Analysis Pivot Tables'!$AF$35:$AF$36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Tables'!$AF$37:$AF$47</c:f>
              <c:numCache>
                <c:formatCode>General</c:formatCode>
                <c:ptCount val="10"/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189-4E9D-8630-566D7CED4BE1}"/>
            </c:ext>
          </c:extLst>
        </c:ser>
        <c:ser>
          <c:idx val="31"/>
          <c:order val="31"/>
          <c:tx>
            <c:strRef>
              <c:f>'Skill Analysis Pivot Tables'!$AG$35:$AG$36</c:f>
              <c:strCache>
                <c:ptCount val="1"/>
                <c:pt idx="0">
                  <c:v>statistics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Tables'!$AG$37:$AG$47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7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189-4E9D-8630-566D7CED4BE1}"/>
            </c:ext>
          </c:extLst>
        </c:ser>
        <c:ser>
          <c:idx val="32"/>
          <c:order val="32"/>
          <c:tx>
            <c:strRef>
              <c:f>'Skill Analysis Pivot Tables'!$AH$35:$AH$36</c:f>
              <c:strCache>
                <c:ptCount val="1"/>
                <c:pt idx="0">
                  <c:v>tableau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strRef>
              <c:f>'Skill Analysis Pivot Tables'!$A$37:$A$47</c:f>
              <c:strCache>
                <c:ptCount val="10"/>
                <c:pt idx="0">
                  <c:v>administrative assistant</c:v>
                </c:pt>
                <c:pt idx="1">
                  <c:v>assistant store manager</c:v>
                </c:pt>
                <c:pt idx="2">
                  <c:v>customer service representative</c:v>
                </c:pt>
                <c:pt idx="3">
                  <c:v>executive assistant</c:v>
                </c:pt>
                <c:pt idx="4">
                  <c:v>project manager</c:v>
                </c:pt>
                <c:pt idx="5">
                  <c:v>receptionist</c:v>
                </c:pt>
                <c:pt idx="6">
                  <c:v>registered nurse</c:v>
                </c:pt>
                <c:pt idx="7">
                  <c:v>sales manager</c:v>
                </c:pt>
                <c:pt idx="8">
                  <c:v>salesperson</c:v>
                </c:pt>
                <c:pt idx="9">
                  <c:v>senior accountant</c:v>
                </c:pt>
              </c:strCache>
            </c:strRef>
          </c:cat>
          <c:val>
            <c:numRef>
              <c:f>'Skill Analysis Pivot Tables'!$AH$37:$AH$47</c:f>
              <c:numCache>
                <c:formatCode>General</c:formatCode>
                <c:ptCount val="10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189-4E9D-8630-566D7CED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336063"/>
        <c:axId val="1460605423"/>
      </c:areaChart>
      <c:catAx>
        <c:axId val="149033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605423"/>
        <c:crosses val="autoZero"/>
        <c:auto val="1"/>
        <c:lblAlgn val="ctr"/>
        <c:lblOffset val="100"/>
        <c:noMultiLvlLbl val="0"/>
      </c:catAx>
      <c:valAx>
        <c:axId val="146060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3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[excel_analysis.xlsx]Skill Analysis Pivot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Skills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'Skill Analysis Pivot Tables'!$E$1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'Skill Analysis Pivot Tables'!$D$2:$D$22</c:f>
              <c:strCache>
                <c:ptCount val="20"/>
                <c:pt idx="0">
                  <c:v>accounting</c:v>
                </c:pt>
                <c:pt idx="1">
                  <c:v>agile</c:v>
                </c:pt>
                <c:pt idx="2">
                  <c:v>aws</c:v>
                </c:pt>
                <c:pt idx="3">
                  <c:v>azure</c:v>
                </c:pt>
                <c:pt idx="4">
                  <c:v>budgeting</c:v>
                </c:pt>
                <c:pt idx="5">
                  <c:v>communication</c:v>
                </c:pt>
                <c:pt idx="6">
                  <c:v>data analysis</c:v>
                </c:pt>
                <c:pt idx="7">
                  <c:v>excel</c:v>
                </c:pt>
                <c:pt idx="8">
                  <c:v>forecasting</c:v>
                </c:pt>
                <c:pt idx="9">
                  <c:v>java</c:v>
                </c:pt>
                <c:pt idx="10">
                  <c:v>javascript</c:v>
                </c:pt>
                <c:pt idx="11">
                  <c:v>leadership</c:v>
                </c:pt>
                <c:pt idx="12">
                  <c:v>linux</c:v>
                </c:pt>
                <c:pt idx="13">
                  <c:v>machine learning</c:v>
                </c:pt>
                <c:pt idx="14">
                  <c:v>oracle</c:v>
                </c:pt>
                <c:pt idx="15">
                  <c:v>project management</c:v>
                </c:pt>
                <c:pt idx="16">
                  <c:v>python</c:v>
                </c:pt>
                <c:pt idx="17">
                  <c:v>scrum</c:v>
                </c:pt>
                <c:pt idx="18">
                  <c:v>sql</c:v>
                </c:pt>
                <c:pt idx="19">
                  <c:v>statistics</c:v>
                </c:pt>
              </c:strCache>
            </c:strRef>
          </c:cat>
          <c:val>
            <c:numRef>
              <c:f>'Skill Analysis Pivot Tables'!$E$2:$E$22</c:f>
              <c:numCache>
                <c:formatCode>General</c:formatCode>
                <c:ptCount val="20"/>
                <c:pt idx="0">
                  <c:v>8799</c:v>
                </c:pt>
                <c:pt idx="1">
                  <c:v>5931</c:v>
                </c:pt>
                <c:pt idx="2">
                  <c:v>3148</c:v>
                </c:pt>
                <c:pt idx="3">
                  <c:v>2905</c:v>
                </c:pt>
                <c:pt idx="4">
                  <c:v>2427</c:v>
                </c:pt>
                <c:pt idx="5">
                  <c:v>59773</c:v>
                </c:pt>
                <c:pt idx="6">
                  <c:v>3196</c:v>
                </c:pt>
                <c:pt idx="7">
                  <c:v>18079</c:v>
                </c:pt>
                <c:pt idx="8">
                  <c:v>2945</c:v>
                </c:pt>
                <c:pt idx="9">
                  <c:v>2660</c:v>
                </c:pt>
                <c:pt idx="10">
                  <c:v>1957</c:v>
                </c:pt>
                <c:pt idx="11">
                  <c:v>29228</c:v>
                </c:pt>
                <c:pt idx="12">
                  <c:v>1693</c:v>
                </c:pt>
                <c:pt idx="13">
                  <c:v>1707</c:v>
                </c:pt>
                <c:pt idx="14">
                  <c:v>2331</c:v>
                </c:pt>
                <c:pt idx="15">
                  <c:v>9981</c:v>
                </c:pt>
                <c:pt idx="16">
                  <c:v>4642</c:v>
                </c:pt>
                <c:pt idx="17">
                  <c:v>1556</c:v>
                </c:pt>
                <c:pt idx="18">
                  <c:v>5150</c:v>
                </c:pt>
                <c:pt idx="19">
                  <c:v>1956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D-4291-B4DD-E48A21A65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8474927"/>
        <c:axId val="1460564143"/>
      </c:barChart>
      <c:catAx>
        <c:axId val="1528474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64143"/>
        <c:crosses val="autoZero"/>
        <c:auto val="1"/>
        <c:lblAlgn val="ctr"/>
        <c:lblOffset val="100"/>
        <c:noMultiLvlLbl val="0"/>
      </c:catAx>
      <c:valAx>
        <c:axId val="146056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7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[excel_analysis.xlsx]Location Analysis Pivot Table!PivotTable6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Locations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'Location Analysis 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'Location Analysis Pivot Table'!$A$2:$A$17</c:f>
              <c:strCache>
                <c:ptCount val="15"/>
                <c:pt idx="0">
                  <c:v>Atlanta, GA</c:v>
                </c:pt>
                <c:pt idx="1">
                  <c:v>Austin, TX</c:v>
                </c:pt>
                <c:pt idx="2">
                  <c:v>Boston, MA</c:v>
                </c:pt>
                <c:pt idx="3">
                  <c:v>Charlotte, NC</c:v>
                </c:pt>
                <c:pt idx="4">
                  <c:v>Chicago, IL</c:v>
                </c:pt>
                <c:pt idx="5">
                  <c:v>Dallas, TX</c:v>
                </c:pt>
                <c:pt idx="6">
                  <c:v>Houston, TX</c:v>
                </c:pt>
                <c:pt idx="7">
                  <c:v>Los Angeles, CA</c:v>
                </c:pt>
                <c:pt idx="8">
                  <c:v>New York City Metropolitan Area</c:v>
                </c:pt>
                <c:pt idx="9">
                  <c:v>New York, NY</c:v>
                </c:pt>
                <c:pt idx="10">
                  <c:v>Phoenix, AZ</c:v>
                </c:pt>
                <c:pt idx="11">
                  <c:v>San Francisco, CA</c:v>
                </c:pt>
                <c:pt idx="12">
                  <c:v>Seattle, WA</c:v>
                </c:pt>
                <c:pt idx="13">
                  <c:v>United States</c:v>
                </c:pt>
                <c:pt idx="14">
                  <c:v>Washington, DC</c:v>
                </c:pt>
              </c:strCache>
            </c:strRef>
          </c:cat>
          <c:val>
            <c:numRef>
              <c:f>'Location Analysis Pivot Table'!$B$2:$B$17</c:f>
              <c:numCache>
                <c:formatCode>General</c:formatCode>
                <c:ptCount val="15"/>
                <c:pt idx="0">
                  <c:v>1363</c:v>
                </c:pt>
                <c:pt idx="1">
                  <c:v>1083</c:v>
                </c:pt>
                <c:pt idx="2">
                  <c:v>1176</c:v>
                </c:pt>
                <c:pt idx="3">
                  <c:v>1075</c:v>
                </c:pt>
                <c:pt idx="4">
                  <c:v>1834</c:v>
                </c:pt>
                <c:pt idx="5">
                  <c:v>1383</c:v>
                </c:pt>
                <c:pt idx="6">
                  <c:v>1762</c:v>
                </c:pt>
                <c:pt idx="7">
                  <c:v>972</c:v>
                </c:pt>
                <c:pt idx="8">
                  <c:v>837</c:v>
                </c:pt>
                <c:pt idx="9">
                  <c:v>2756</c:v>
                </c:pt>
                <c:pt idx="10">
                  <c:v>1059</c:v>
                </c:pt>
                <c:pt idx="11">
                  <c:v>884</c:v>
                </c:pt>
                <c:pt idx="12">
                  <c:v>818</c:v>
                </c:pt>
                <c:pt idx="13">
                  <c:v>8125</c:v>
                </c:pt>
                <c:pt idx="14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9-4995-B04D-C1086E95F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8316239"/>
        <c:axId val="1537653871"/>
      </c:barChart>
      <c:catAx>
        <c:axId val="152831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653871"/>
        <c:crosses val="autoZero"/>
        <c:auto val="1"/>
        <c:lblAlgn val="ctr"/>
        <c:lblOffset val="100"/>
        <c:noMultiLvlLbl val="0"/>
      </c:catAx>
      <c:valAx>
        <c:axId val="153765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1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[excel_analysis.xlsx]Location Analysis Pivot Table!PivotTable7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Salary by Location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'Location Analysis Pivot Table'!$E$1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'Location Analysis Pivot Table'!$D$2:$D$17</c:f>
              <c:strCache>
                <c:ptCount val="15"/>
                <c:pt idx="0">
                  <c:v>Foster City, CA</c:v>
                </c:pt>
                <c:pt idx="1">
                  <c:v>Los Gatos, CA</c:v>
                </c:pt>
                <c:pt idx="2">
                  <c:v>Menlo Park, CA</c:v>
                </c:pt>
                <c:pt idx="3">
                  <c:v>Mountain View, CA</c:v>
                </c:pt>
                <c:pt idx="4">
                  <c:v>New York, United States</c:v>
                </c:pt>
                <c:pt idx="5">
                  <c:v>Palo Alto, CA</c:v>
                </c:pt>
                <c:pt idx="6">
                  <c:v>Rahway, NJ</c:v>
                </c:pt>
                <c:pt idx="7">
                  <c:v>Reston, VA</c:v>
                </c:pt>
                <c:pt idx="8">
                  <c:v>San Francisco Bay Area</c:v>
                </c:pt>
                <c:pt idx="9">
                  <c:v>San Francisco, CA</c:v>
                </c:pt>
                <c:pt idx="10">
                  <c:v>San Jose, CA</c:v>
                </c:pt>
                <c:pt idx="11">
                  <c:v>San Mateo, CA</c:v>
                </c:pt>
                <c:pt idx="12">
                  <c:v>Santa Clara, CA</c:v>
                </c:pt>
                <c:pt idx="13">
                  <c:v>Stockton, CA</c:v>
                </c:pt>
                <c:pt idx="14">
                  <c:v>Sunnyvale, CA</c:v>
                </c:pt>
              </c:strCache>
            </c:strRef>
          </c:cat>
          <c:val>
            <c:numRef>
              <c:f>'Location Analysis Pivot Table'!$E$2:$E$17</c:f>
              <c:numCache>
                <c:formatCode>General</c:formatCode>
                <c:ptCount val="15"/>
                <c:pt idx="0">
                  <c:v>178323</c:v>
                </c:pt>
                <c:pt idx="1">
                  <c:v>149048</c:v>
                </c:pt>
                <c:pt idx="2">
                  <c:v>142121</c:v>
                </c:pt>
                <c:pt idx="3">
                  <c:v>163085</c:v>
                </c:pt>
                <c:pt idx="4">
                  <c:v>140753</c:v>
                </c:pt>
                <c:pt idx="5">
                  <c:v>146503</c:v>
                </c:pt>
                <c:pt idx="6">
                  <c:v>158828</c:v>
                </c:pt>
                <c:pt idx="7">
                  <c:v>142027</c:v>
                </c:pt>
                <c:pt idx="8">
                  <c:v>155311</c:v>
                </c:pt>
                <c:pt idx="9">
                  <c:v>139403</c:v>
                </c:pt>
                <c:pt idx="10">
                  <c:v>144306</c:v>
                </c:pt>
                <c:pt idx="11">
                  <c:v>199605</c:v>
                </c:pt>
                <c:pt idx="12">
                  <c:v>145272</c:v>
                </c:pt>
                <c:pt idx="13">
                  <c:v>146210</c:v>
                </c:pt>
                <c:pt idx="14">
                  <c:v>153622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0-44D9-9B7D-4C3A6A213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687359"/>
        <c:axId val="1537544911"/>
      </c:lineChart>
      <c:catAx>
        <c:axId val="154668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544911"/>
        <c:crosses val="autoZero"/>
        <c:auto val="1"/>
        <c:lblAlgn val="ctr"/>
        <c:lblOffset val="100"/>
        <c:noMultiLvlLbl val="0"/>
      </c:catAx>
      <c:valAx>
        <c:axId val="153754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8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[excel_analysis.xlsx]Salary Analysis Pivot Table!PivotTable8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Salary by Role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Analysis 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'Salary Analysis Pivot Table'!$A$2:$A$22</c:f>
              <c:strCache>
                <c:ptCount val="20"/>
                <c:pt idx="0">
                  <c:v>assistant controller</c:v>
                </c:pt>
                <c:pt idx="1">
                  <c:v>associate attorney</c:v>
                </c:pt>
                <c:pt idx="2">
                  <c:v>attorney</c:v>
                </c:pt>
                <c:pt idx="3">
                  <c:v>business analyst</c:v>
                </c:pt>
                <c:pt idx="4">
                  <c:v>construction project manager</c:v>
                </c:pt>
                <c:pt idx="5">
                  <c:v>construction superintendent</c:v>
                </c:pt>
                <c:pt idx="6">
                  <c:v>controller</c:v>
                </c:pt>
                <c:pt idx="7">
                  <c:v>electrical engineer</c:v>
                </c:pt>
                <c:pt idx="8">
                  <c:v>finance manager</c:v>
                </c:pt>
                <c:pt idx="9">
                  <c:v>financial controller</c:v>
                </c:pt>
                <c:pt idx="10">
                  <c:v>full stack engineer</c:v>
                </c:pt>
                <c:pt idx="11">
                  <c:v>product manager</c:v>
                </c:pt>
                <c:pt idx="12">
                  <c:v>program manager</c:v>
                </c:pt>
                <c:pt idx="13">
                  <c:v>project manager</c:v>
                </c:pt>
                <c:pt idx="14">
                  <c:v>sales manager</c:v>
                </c:pt>
                <c:pt idx="15">
                  <c:v>senior financial analyst</c:v>
                </c:pt>
                <c:pt idx="16">
                  <c:v>senior project manager</c:v>
                </c:pt>
                <c:pt idx="17">
                  <c:v>senior software engineer</c:v>
                </c:pt>
                <c:pt idx="18">
                  <c:v>software engineer</c:v>
                </c:pt>
                <c:pt idx="19">
                  <c:v>tax manager</c:v>
                </c:pt>
              </c:strCache>
            </c:strRef>
          </c:cat>
          <c:val>
            <c:numRef>
              <c:f>'Salary Analysis Pivot Table'!$B$2:$B$22</c:f>
              <c:numCache>
                <c:formatCode>General</c:formatCode>
                <c:ptCount val="20"/>
                <c:pt idx="0">
                  <c:v>122580</c:v>
                </c:pt>
                <c:pt idx="1">
                  <c:v>122370</c:v>
                </c:pt>
                <c:pt idx="2">
                  <c:v>152929</c:v>
                </c:pt>
                <c:pt idx="3">
                  <c:v>113165</c:v>
                </c:pt>
                <c:pt idx="4">
                  <c:v>112969</c:v>
                </c:pt>
                <c:pt idx="5">
                  <c:v>114732</c:v>
                </c:pt>
                <c:pt idx="6">
                  <c:v>138431</c:v>
                </c:pt>
                <c:pt idx="7">
                  <c:v>111858</c:v>
                </c:pt>
                <c:pt idx="8">
                  <c:v>123266</c:v>
                </c:pt>
                <c:pt idx="9">
                  <c:v>139843</c:v>
                </c:pt>
                <c:pt idx="10">
                  <c:v>137374</c:v>
                </c:pt>
                <c:pt idx="11">
                  <c:v>128046</c:v>
                </c:pt>
                <c:pt idx="12">
                  <c:v>126874</c:v>
                </c:pt>
                <c:pt idx="13">
                  <c:v>111407</c:v>
                </c:pt>
                <c:pt idx="14">
                  <c:v>118504</c:v>
                </c:pt>
                <c:pt idx="15">
                  <c:v>107521</c:v>
                </c:pt>
                <c:pt idx="16">
                  <c:v>142617</c:v>
                </c:pt>
                <c:pt idx="17">
                  <c:v>165161</c:v>
                </c:pt>
                <c:pt idx="18">
                  <c:v>149497</c:v>
                </c:pt>
                <c:pt idx="19">
                  <c:v>133396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3-4A19-8104-13C2F43D7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6782479"/>
        <c:axId val="835536527"/>
      </c:barChart>
      <c:catAx>
        <c:axId val="154678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536527"/>
        <c:crosses val="autoZero"/>
        <c:auto val="1"/>
        <c:lblAlgn val="ctr"/>
        <c:lblOffset val="100"/>
        <c:noMultiLvlLbl val="0"/>
      </c:catAx>
      <c:valAx>
        <c:axId val="83553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78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[excel_analysis.xlsx]Salary Analysis Pivot Table!PivotTable9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Salary by Experience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'Salary Analysis Pivot Table'!$E$1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14-4F19-9A09-7FB1053D46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714-4F19-9A09-7FB1053D46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14-4F19-9A09-7FB1053D46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714-4F19-9A09-7FB1053D46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714-4F19-9A09-7FB1053D46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714-4F19-9A09-7FB1053D46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'Salary Analysis Pivot Table'!$D$2:$D$8</c:f>
              <c:strCache>
                <c:ptCount val="6"/>
                <c:pt idx="0">
                  <c:v>Associate</c:v>
                </c:pt>
                <c:pt idx="1">
                  <c:v>Director</c:v>
                </c:pt>
                <c:pt idx="2">
                  <c:v>Entry level</c:v>
                </c:pt>
                <c:pt idx="3">
                  <c:v>Executive</c:v>
                </c:pt>
                <c:pt idx="4">
                  <c:v>Internship</c:v>
                </c:pt>
                <c:pt idx="5">
                  <c:v>Mid-Senior level</c:v>
                </c:pt>
              </c:strCache>
            </c:strRef>
          </c:cat>
          <c:val>
            <c:numRef>
              <c:f>'Salary Analysis Pivot Table'!$E$2:$E$8</c:f>
              <c:numCache>
                <c:formatCode>General</c:formatCode>
                <c:ptCount val="6"/>
                <c:pt idx="0">
                  <c:v>83113</c:v>
                </c:pt>
                <c:pt idx="1">
                  <c:v>170657</c:v>
                </c:pt>
                <c:pt idx="2">
                  <c:v>65231</c:v>
                </c:pt>
                <c:pt idx="3">
                  <c:v>196770</c:v>
                </c:pt>
                <c:pt idx="4">
                  <c:v>53161</c:v>
                </c:pt>
                <c:pt idx="5">
                  <c:v>113108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714-4F19-9A09-7FB1053D46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[excel_analysis.xlsx]Salary Analysis Pivot Table!PivotTable10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Salary by Work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Analysis Pivot Table'!$E$10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'Salary Analysis Pivot Table'!$D$11:$D$18</c:f>
              <c:strCache>
                <c:ptCount val="7"/>
                <c:pt idx="0">
                  <c:v>Contract</c:v>
                </c:pt>
                <c:pt idx="1">
                  <c:v>Full-time</c:v>
                </c:pt>
                <c:pt idx="2">
                  <c:v>Internship</c:v>
                </c:pt>
                <c:pt idx="3">
                  <c:v>Other</c:v>
                </c:pt>
                <c:pt idx="4">
                  <c:v>Part-time</c:v>
                </c:pt>
                <c:pt idx="5">
                  <c:v>Temporary</c:v>
                </c:pt>
                <c:pt idx="6">
                  <c:v>Volunteer</c:v>
                </c:pt>
              </c:strCache>
            </c:strRef>
          </c:cat>
          <c:val>
            <c:numRef>
              <c:f>'Salary Analysis Pivot Table'!$E$11:$E$18</c:f>
              <c:numCache>
                <c:formatCode>General</c:formatCode>
                <c:ptCount val="7"/>
                <c:pt idx="0">
                  <c:v>102679</c:v>
                </c:pt>
                <c:pt idx="1">
                  <c:v>98406</c:v>
                </c:pt>
                <c:pt idx="2">
                  <c:v>54850</c:v>
                </c:pt>
                <c:pt idx="3">
                  <c:v>76583</c:v>
                </c:pt>
                <c:pt idx="4">
                  <c:v>59853</c:v>
                </c:pt>
                <c:pt idx="5">
                  <c:v>74561</c:v>
                </c:pt>
                <c:pt idx="6">
                  <c:v>46788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E-45F0-9049-C7782992A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3468880"/>
        <c:axId val="1537605391"/>
      </c:barChart>
      <c:catAx>
        <c:axId val="69346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605391"/>
        <c:crosses val="autoZero"/>
        <c:auto val="1"/>
        <c:lblAlgn val="ctr"/>
        <c:lblOffset val="100"/>
        <c:noMultiLvlLbl val="0"/>
      </c:catAx>
      <c:valAx>
        <c:axId val="15376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6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6</xdr:col>
      <xdr:colOff>366889</xdr:colOff>
      <xdr:row>17</xdr:row>
      <xdr:rowOff>121919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7D635-EEE6-4C39-A244-746326176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6</xdr:col>
      <xdr:colOff>357482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BE5C53-1F1E-472E-892A-BD2C33334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</xdr:colOff>
      <xdr:row>4</xdr:row>
      <xdr:rowOff>18815</xdr:rowOff>
    </xdr:from>
    <xdr:to>
      <xdr:col>13</xdr:col>
      <xdr:colOff>228600</xdr:colOff>
      <xdr:row>17</xdr:row>
      <xdr:rowOff>129539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1929CD-040A-47AB-AE60-22552277B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</xdr:colOff>
      <xdr:row>18</xdr:row>
      <xdr:rowOff>0</xdr:rowOff>
    </xdr:from>
    <xdr:to>
      <xdr:col>13</xdr:col>
      <xdr:colOff>228600</xdr:colOff>
      <xdr:row>31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C781DE-E8C7-4B72-845F-DE71BB4B9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4</xdr:row>
      <xdr:rowOff>0</xdr:rowOff>
    </xdr:from>
    <xdr:to>
      <xdr:col>20</xdr:col>
      <xdr:colOff>373380</xdr:colOff>
      <xdr:row>17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8F1C0B-CD09-489F-B561-A31E5BD1F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18</xdr:row>
      <xdr:rowOff>0</xdr:rowOff>
    </xdr:from>
    <xdr:to>
      <xdr:col>20</xdr:col>
      <xdr:colOff>365760</xdr:colOff>
      <xdr:row>31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9A8124-7696-4496-81A0-A389DDC4B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19539</xdr:colOff>
      <xdr:row>32</xdr:row>
      <xdr:rowOff>48847</xdr:rowOff>
    </xdr:from>
    <xdr:to>
      <xdr:col>13</xdr:col>
      <xdr:colOff>224692</xdr:colOff>
      <xdr:row>46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3964D5-528E-4583-9C12-043B00CFC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87924</xdr:colOff>
      <xdr:row>32</xdr:row>
      <xdr:rowOff>29306</xdr:rowOff>
    </xdr:from>
    <xdr:to>
      <xdr:col>6</xdr:col>
      <xdr:colOff>366889</xdr:colOff>
      <xdr:row>46</xdr:row>
      <xdr:rowOff>127000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09C8FA-78D2-4804-8F94-194664777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32</xdr:row>
      <xdr:rowOff>68385</xdr:rowOff>
    </xdr:from>
    <xdr:to>
      <xdr:col>20</xdr:col>
      <xdr:colOff>351693</xdr:colOff>
      <xdr:row>46</xdr:row>
      <xdr:rowOff>136770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08D2D05-018E-4406-81EC-3238459AB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473754</xdr:colOff>
      <xdr:row>16</xdr:row>
      <xdr:rowOff>180647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13FE1B-C10F-4532-8A36-37E1AA1C1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8</xdr:col>
      <xdr:colOff>481374</xdr:colOff>
      <xdr:row>33</xdr:row>
      <xdr:rowOff>15765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00003E-427E-4A44-B305-AA1EB5C7C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597876</xdr:colOff>
      <xdr:row>0</xdr:row>
      <xdr:rowOff>0</xdr:rowOff>
    </xdr:from>
    <xdr:to>
      <xdr:col>17</xdr:col>
      <xdr:colOff>468921</xdr:colOff>
      <xdr:row>16</xdr:row>
      <xdr:rowOff>164123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2B42C6-E0EB-4DC7-B3EA-AB6D9E7A9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457200</xdr:colOff>
      <xdr:row>32</xdr:row>
      <xdr:rowOff>174353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A72241-229C-4C1E-BF81-FEC4C04A4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FB71EA-3C0E-413B-B362-9AEAB9C25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335280</xdr:colOff>
      <xdr:row>0</xdr:row>
      <xdr:rowOff>7620</xdr:rowOff>
    </xdr:from>
    <xdr:to>
      <xdr:col>15</xdr:col>
      <xdr:colOff>601980</xdr:colOff>
      <xdr:row>15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BEE963-BCE3-4284-A567-B8CF0610A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251460</xdr:colOff>
      <xdr:row>31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1C4C88-EAC6-4AFB-A428-11EED4CEC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312420</xdr:colOff>
      <xdr:row>0</xdr:row>
      <xdr:rowOff>7620</xdr:rowOff>
    </xdr:from>
    <xdr:to>
      <xdr:col>15</xdr:col>
      <xdr:colOff>320040</xdr:colOff>
      <xdr:row>16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E0B996-2C4C-428A-B480-E52769B19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312421</xdr:colOff>
      <xdr:row>16</xdr:row>
      <xdr:rowOff>99060</xdr:rowOff>
    </xdr:from>
    <xdr:to>
      <xdr:col>15</xdr:col>
      <xdr:colOff>342901</xdr:colOff>
      <xdr:row>31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65F1AA-F3E5-4B03-AD43-68EFD6A74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USHI KHATRI" refreshedDate="46245.924302199077" backgroundQuery="1" createdVersion="8" refreshedVersion="8" minRefreshableVersion="3" recordCount="0" supportSubquery="1" supportAdvancedDrill="1" xr:uid="{3F4B2C5F-B066-4F8E-AB15-969A9FA17E0D}">
  <cacheSource type="external" connectionId="30"/>
  <cacheFields count="2">
    <cacheField name="[skill_demand_by_category].[category].[category]" caption="category" numFmtId="0" hierarchy="21" level="1">
      <sharedItems count="13">
        <s v="AI"/>
        <s v="Big Data"/>
        <s v="Business"/>
        <s v="Cloud"/>
        <s v="Data Science"/>
        <s v="Databases"/>
        <s v="DevOps"/>
        <s v="Finance"/>
        <s v="Marketing"/>
        <s v="Operating Systems"/>
        <s v="Programming"/>
        <s v="Visualization"/>
        <s v="Web"/>
      </sharedItems>
    </cacheField>
    <cacheField name="[Measures].[Sum of demand 2]" caption="Sum of demand 2" numFmtId="0" hierarchy="35" level="32767"/>
  </cacheFields>
  <cacheHierarchies count="36">
    <cacheHierarchy uniqueName="[Sheet1].[clean_title]" caption="clean_title" attribute="1" defaultMemberUniqueName="[Sheet1].[clean_title].[All]" allUniqueName="[Sheet1].[clean_title].[All]" dimensionUniqueName="[Sheet1]" displayFolder="" count="0" memberValueDatatype="130" unbalanced="0"/>
    <cacheHierarchy uniqueName="[Sheet1].[job_count]" caption="job_count" attribute="1" defaultMemberUniqueName="[Sheet1].[job_count].[All]" allUniqueName="[Sheet1].[job_count].[All]" dimensionUniqueName="[Sheet1]" displayFolder="" count="0" memberValueDatatype="20" unbalanced="0"/>
    <cacheHierarchy uniqueName="[Sheet1  12].[skill]" caption="skill" attribute="1" defaultMemberUniqueName="[Sheet1  12].[skill].[All]" allUniqueName="[Sheet1  12].[skill].[All]" dimensionUniqueName="[Sheet1  12]" displayFolder="" count="0" memberValueDatatype="130" unbalanced="0"/>
    <cacheHierarchy uniqueName="[Sheet1  12].[demand]" caption="demand" attribute="1" defaultMemberUniqueName="[Sheet1  12].[demand].[All]" allUniqueName="[Sheet1  12].[demand].[All]" dimensionUniqueName="[Sheet1  12]" displayFolder="" count="0" memberValueDatatype="20" unbalanced="0"/>
    <cacheHierarchy uniqueName="[Sheet1  2].[title]" caption="title" attribute="1" defaultMemberUniqueName="[Sheet1  2].[title].[All]" allUniqueName="[Sheet1  2].[title].[All]" dimensionUniqueName="[Sheet1  2]" displayFolder="" count="0" memberValueDatatype="130" unbalanced="0"/>
    <cacheHierarchy uniqueName="[Sheet1  2].[avg_salary]" caption="avg_salary" attribute="1" defaultMemberUniqueName="[Sheet1  2].[avg_salary].[All]" allUniqueName="[Sheet1  2].[avg_salary].[All]" dimensionUniqueName="[Sheet1  2]" displayFolder="" count="0" memberValueDatatype="20" unbalanced="0"/>
    <cacheHierarchy uniqueName="[Sheet1  2].[n]" caption="n" attribute="1" defaultMemberUniqueName="[Sheet1  2].[n].[All]" allUniqueName="[Sheet1  2].[n].[All]" dimensionUniqueName="[Sheet1  2]" displayFolder="" count="0" memberValueDatatype="20" unbalanced="0"/>
    <cacheHierarchy uniqueName="[Sheet1  4].[experience_level]" caption="experience_level" attribute="1" defaultMemberUniqueName="[Sheet1  4].[experience_level].[All]" allUniqueName="[Sheet1  4].[experience_level].[All]" dimensionUniqueName="[Sheet1  4]" displayFolder="" count="0" memberValueDatatype="130" unbalanced="0"/>
    <cacheHierarchy uniqueName="[Sheet1  4].[job_count]" caption="job_count" attribute="1" defaultMemberUniqueName="[Sheet1  4].[job_count].[All]" allUniqueName="[Sheet1  4].[job_count].[All]" dimensionUniqueName="[Sheet1  4]" displayFolder="" count="0" memberValueDatatype="20" unbalanced="0"/>
    <cacheHierarchy uniqueName="[Sheet1  4].[pct]" caption="pct" attribute="1" defaultMemberUniqueName="[Sheet1  4].[pct].[All]" allUniqueName="[Sheet1  4].[pct].[All]" dimensionUniqueName="[Sheet1  4]" displayFolder="" count="0" memberValueDatatype="5" unbalanced="0"/>
    <cacheHierarchy uniqueName="[Sheet1  6].[skill]" caption="skill" attribute="1" defaultMemberUniqueName="[Sheet1  6].[skill].[All]" allUniqueName="[Sheet1  6].[skill].[All]" dimensionUniqueName="[Sheet1  6]" displayFolder="" count="0" memberValueDatatype="130" unbalanced="0"/>
    <cacheHierarchy uniqueName="[Sheet1  6].[demand]" caption="demand" attribute="1" defaultMemberUniqueName="[Sheet1  6].[demand].[All]" allUniqueName="[Sheet1  6].[demand].[All]" dimensionUniqueName="[Sheet1  6]" displayFolder="" count="0" memberValueDatatype="20" unbalanced="0"/>
    <cacheHierarchy uniqueName="[Sheet1  7].[title]" caption="title" attribute="1" defaultMemberUniqueName="[Sheet1  7].[title].[All]" allUniqueName="[Sheet1  7].[title].[All]" dimensionUniqueName="[Sheet1  7]" displayFolder="" count="0" memberValueDatatype="130" unbalanced="0"/>
    <cacheHierarchy uniqueName="[Sheet1  7].[skill]" caption="skill" attribute="1" defaultMemberUniqueName="[Sheet1  7].[skill].[All]" allUniqueName="[Sheet1  7].[skill].[All]" dimensionUniqueName="[Sheet1  7]" displayFolder="" count="0" memberValueDatatype="130" unbalanced="0"/>
    <cacheHierarchy uniqueName="[Sheet1  7].[demand]" caption="demand" attribute="1" defaultMemberUniqueName="[Sheet1  7].[demand].[All]" allUniqueName="[Sheet1  7].[demand].[All]" dimensionUniqueName="[Sheet1  7]" displayFolder="" count="0" memberValueDatatype="20" unbalanced="0"/>
    <cacheHierarchy uniqueName="[Sheet1  8].[company_name]" caption="company_name" attribute="1" defaultMemberUniqueName="[Sheet1  8].[company_name].[All]" allUniqueName="[Sheet1  8].[company_name].[All]" dimensionUniqueName="[Sheet1  8]" displayFolder="" count="0" memberValueDatatype="130" unbalanced="0"/>
    <cacheHierarchy uniqueName="[Sheet1  8].[job_count]" caption="job_count" attribute="1" defaultMemberUniqueName="[Sheet1  8].[job_count].[All]" allUniqueName="[Sheet1  8].[job_count].[All]" dimensionUniqueName="[Sheet1  8]" displayFolder="" count="0" memberValueDatatype="20" unbalanced="0"/>
    <cacheHierarchy uniqueName="[Sheet1  9].[location]" caption="location" attribute="1" defaultMemberUniqueName="[Sheet1  9].[location].[All]" allUniqueName="[Sheet1  9].[location].[All]" dimensionUniqueName="[Sheet1  9]" displayFolder="" count="0" memberValueDatatype="130" unbalanced="0"/>
    <cacheHierarchy uniqueName="[Sheet1  9].[job_count]" caption="job_count" attribute="1" defaultMemberUniqueName="[Sheet1  9].[job_count].[All]" allUniqueName="[Sheet1  9].[job_count].[All]" dimensionUniqueName="[Sheet1  9]" displayFolder="" count="0" memberValueDatatype="20" unbalanced="0"/>
    <cacheHierarchy uniqueName="[Sheet1 1].[category]" caption="category" attribute="1" defaultMemberUniqueName="[Sheet1 1].[category].[All]" allUniqueName="[Sheet1 1].[category].[All]" dimensionUniqueName="[Sheet1 1]" displayFolder="" count="0" memberValueDatatype="130" unbalanced="0"/>
    <cacheHierarchy uniqueName="[Sheet1 1].[demand]" caption="demand" attribute="1" defaultMemberUniqueName="[Sheet1 1].[demand].[All]" allUniqueName="[Sheet1 1].[demand].[All]" dimensionUniqueName="[Sheet1 1]" displayFolder="" count="0" memberValueDatatype="20" unbalanced="0"/>
    <cacheHierarchy uniqueName="[skill_demand_by_category].[category]" caption="category" attribute="1" defaultMemberUniqueName="[skill_demand_by_category].[category].[All]" allUniqueName="[skill_demand_by_category].[category].[All]" dimensionUniqueName="[skill_demand_by_category]" displayFolder="" count="2" memberValueDatatype="130" unbalanced="0">
      <fieldsUsage count="2">
        <fieldUsage x="-1"/>
        <fieldUsage x="0"/>
      </fieldsUsage>
    </cacheHierarchy>
    <cacheHierarchy uniqueName="[skill_demand_by_category].[demand]" caption="demand" attribute="1" defaultMemberUniqueName="[skill_demand_by_category].[demand].[All]" allUniqueName="[skill_demand_by_category].[demand].[All]" dimensionUniqueName="[skill_demand_by_category]" displayFolder="" count="0" memberValueDatatype="20" unbalanced="0"/>
    <cacheHierarchy uniqueName="[Measures].[__XL_Count Sheet1]" caption="__XL_Count Sheet1" measure="1" displayFolder="" measureGroup="Sheet1" count="0" hidden="1"/>
    <cacheHierarchy uniqueName="[Measures].[__XL_Count Sheet1  2]" caption="__XL_Count Sheet1  2" measure="1" displayFolder="" measureGroup="Sheet1  2" count="0" hidden="1"/>
    <cacheHierarchy uniqueName="[Measures].[__XL_Count Sheet1  4]" caption="__XL_Count Sheet1  4" measure="1" displayFolder="" measureGroup="Sheet1  4" count="0" hidden="1"/>
    <cacheHierarchy uniqueName="[Measures].[__XL_Count Sheet1  6]" caption="__XL_Count Sheet1  6" measure="1" displayFolder="" measureGroup="Sheet1  6" count="0" hidden="1"/>
    <cacheHierarchy uniqueName="[Measures].[__XL_Count Sheet1  7]" caption="__XL_Count Sheet1  7" measure="1" displayFolder="" measureGroup="Sheet1  7" count="0" hidden="1"/>
    <cacheHierarchy uniqueName="[Measures].[__XL_Count Sheet1  8]" caption="__XL_Count Sheet1  8" measure="1" displayFolder="" measureGroup="Sheet1  8" count="0" hidden="1"/>
    <cacheHierarchy uniqueName="[Measures].[__XL_Count Sheet1  9]" caption="__XL_Count Sheet1  9" measure="1" displayFolder="" measureGroup="Sheet1  9" count="0" hidden="1"/>
    <cacheHierarchy uniqueName="[Measures].[__XL_Count Sheet1  12]" caption="__XL_Count Sheet1  12" measure="1" displayFolder="" measureGroup="Sheet1  12" count="0" hidden="1"/>
    <cacheHierarchy uniqueName="[Measures].[__XL_Count Sheet1 1]" caption="__XL_Count Sheet1 1" measure="1" displayFolder="" measureGroup="Sheet1 1" count="0" hidden="1"/>
    <cacheHierarchy uniqueName="[Measures].[__XL_Count skill_demand_by_category]" caption="__XL_Count skill_demand_by_category" measure="1" displayFolder="" measureGroup="skill_demand_by_category" count="0" hidden="1"/>
    <cacheHierarchy uniqueName="[Measures].[__No measures defined]" caption="__No measures defined" measure="1" displayFolder="" count="0" hidden="1"/>
    <cacheHierarchy uniqueName="[Measures].[Sum of demand]" caption="Sum of demand" measure="1" displayFolder="" measureGroup="Sheet1  1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emand 2]" caption="Sum of demand 2" measure="1" displayFolder="" measureGroup="skill_demand_by_catego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1">
    <dimension measure="1" name="Measures" uniqueName="[Measures]" caption="Measures"/>
    <dimension name="Sheet1" uniqueName="[Sheet1]" caption="Sheet1"/>
    <dimension name="Sheet1  12" uniqueName="[Sheet1  12]" caption="Sheet1  12"/>
    <dimension name="Sheet1  2" uniqueName="[Sheet1  2]" caption="Sheet1  2"/>
    <dimension name="Sheet1  4" uniqueName="[Sheet1  4]" caption="Sheet1  4"/>
    <dimension name="Sheet1  6" uniqueName="[Sheet1  6]" caption="Sheet1  6"/>
    <dimension name="Sheet1  7" uniqueName="[Sheet1  7]" caption="Sheet1  7"/>
    <dimension name="Sheet1  8" uniqueName="[Sheet1  8]" caption="Sheet1  8"/>
    <dimension name="Sheet1  9" uniqueName="[Sheet1  9]" caption="Sheet1  9"/>
    <dimension name="Sheet1 1" uniqueName="[Sheet1 1]" caption="Sheet1 1"/>
    <dimension name="skill_demand_by_category" uniqueName="[skill_demand_by_category]" caption="skill_demand_by_category"/>
  </dimensions>
  <measureGroups count="10">
    <measureGroup name="Sheet1" caption="Sheet1"/>
    <measureGroup name="Sheet1  12" caption="Sheet1  12"/>
    <measureGroup name="Sheet1  2" caption="Sheet1  2"/>
    <measureGroup name="Sheet1  4" caption="Sheet1  4"/>
    <measureGroup name="Sheet1  6" caption="Sheet1  6"/>
    <measureGroup name="Sheet1  7" caption="Sheet1  7"/>
    <measureGroup name="Sheet1  8" caption="Sheet1  8"/>
    <measureGroup name="Sheet1  9" caption="Sheet1  9"/>
    <measureGroup name="Sheet1 1" caption="Sheet1 1"/>
    <measureGroup name="skill_demand_by_category" caption="skill_demand_by_category"/>
  </measureGroups>
  <maps count="1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KHATRI" refreshedDate="46245.926560763888" backgroundQuery="1" createdVersion="8" refreshedVersion="8" minRefreshableVersion="3" recordCount="15" xr:uid="{F5632B92-D0A1-49F1-9EEA-1C0A7DBA1EE0}">
  <cacheSource type="external" connectionId="18"/>
  <cacheFields count="2">
    <cacheField name="skill" numFmtId="0">
      <sharedItems count="15">
        <s v="sql"/>
        <s v="communication"/>
        <s v="excel"/>
        <s v="data analysis"/>
        <s v="python"/>
        <s v="statistics"/>
        <s v="tableau"/>
        <s v="leadership"/>
        <s v="power bi"/>
        <s v="agile"/>
        <s v="machine learning"/>
        <s v="data science"/>
        <s v="javascript"/>
        <s v="html"/>
        <s v="project management"/>
      </sharedItems>
    </cacheField>
    <cacheField name="demand" numFmtId="0">
      <sharedItems containsSemiMixedTypes="0" containsString="0" containsNumber="1" containsInteger="1" minValue="38" maxValue="248" count="15">
        <n v="248"/>
        <n v="156"/>
        <n v="149"/>
        <n v="145"/>
        <n v="141"/>
        <n v="87"/>
        <n v="83"/>
        <n v="81"/>
        <n v="63"/>
        <n v="59"/>
        <n v="53"/>
        <n v="49"/>
        <n v="45"/>
        <n v="40"/>
        <n v="3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KHATRI" refreshedDate="46245.929771180556" backgroundQuery="1" createdVersion="8" refreshedVersion="8" minRefreshableVersion="3" recordCount="107" xr:uid="{F376129C-6542-488E-84D7-3310260C46CE}">
  <cacheSource type="external" connectionId="19"/>
  <cacheFields count="3">
    <cacheField name="title" numFmtId="0">
      <sharedItems count="10">
        <s v="administrative assistant"/>
        <s v="assistant store manager"/>
        <s v="customer service representative"/>
        <s v="executive assistant"/>
        <s v="project manager"/>
        <s v="receptionist"/>
        <s v="registered nurse"/>
        <s v="sales manager"/>
        <s v="salesperson"/>
        <s v="senior accountant"/>
      </sharedItems>
    </cacheField>
    <cacheField name="skill" numFmtId="0">
      <sharedItems count="33">
        <s v="communication"/>
        <s v="excel"/>
        <s v="accounting"/>
        <s v="leadership"/>
        <s v="project management"/>
        <s v="budgeting"/>
        <s v="oracle"/>
        <s v="statistics"/>
        <s v="data analysis"/>
        <s v="financial analysis"/>
        <s v="aws"/>
        <s v="spark"/>
        <s v="agile"/>
        <s v="forecasting"/>
        <s v="data science"/>
        <s v="scrum"/>
        <s v="sql"/>
        <s v="azure"/>
        <s v="power bi"/>
        <s v="tableau"/>
        <s v="generative ai"/>
        <s v="java"/>
        <s v="databricks"/>
        <s v="gcp"/>
        <s v="golang"/>
        <s v="html"/>
        <s v="linux"/>
        <s v="machine learning"/>
        <s v="python"/>
        <s v="rag"/>
        <s v="ruby"/>
        <s v="social media marketing"/>
        <s v="snowflake"/>
      </sharedItems>
    </cacheField>
    <cacheField name="demand" numFmtId="0">
      <sharedItems containsSemiMixedTypes="0" containsString="0" containsNumber="1" containsInteger="1" minValue="1" maxValue="6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KHATRI" refreshedDate="46245.936683449072" backgroundQuery="1" createdVersion="8" refreshedVersion="8" minRefreshableVersion="3" recordCount="20" xr:uid="{3A0D5DED-BBE7-4B4F-9077-4F25F40E62B7}">
  <cacheSource type="external" connectionId="20"/>
  <cacheFields count="2">
    <cacheField name="skill" numFmtId="0">
      <sharedItems count="20">
        <s v="communication"/>
        <s v="leadership"/>
        <s v="excel"/>
        <s v="project management"/>
        <s v="accounting"/>
        <s v="agile"/>
        <s v="sql"/>
        <s v="python"/>
        <s v="data analysis"/>
        <s v="aws"/>
        <s v="forecasting"/>
        <s v="azure"/>
        <s v="java"/>
        <s v="budgeting"/>
        <s v="oracle"/>
        <s v="javascript"/>
        <s v="statistics"/>
        <s v="machine learning"/>
        <s v="linux"/>
        <s v="scrum"/>
      </sharedItems>
    </cacheField>
    <cacheField name="demand" numFmtId="0">
      <sharedItems containsSemiMixedTypes="0" containsString="0" containsNumber="1" containsInteger="1" minValue="1556" maxValue="59773" count="20">
        <n v="59773"/>
        <n v="29228"/>
        <n v="18079"/>
        <n v="9981"/>
        <n v="8799"/>
        <n v="5931"/>
        <n v="5150"/>
        <n v="4642"/>
        <n v="3196"/>
        <n v="3148"/>
        <n v="2945"/>
        <n v="2905"/>
        <n v="2660"/>
        <n v="2427"/>
        <n v="2331"/>
        <n v="1957"/>
        <n v="1956"/>
        <n v="1707"/>
        <n v="1693"/>
        <n v="155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KHATRI" refreshedDate="46245.943657638891" backgroundQuery="1" createdVersion="8" refreshedVersion="8" minRefreshableVersion="3" recordCount="15" xr:uid="{55D4841E-D564-464D-B53A-72291C1A0340}">
  <cacheSource type="external" connectionId="21"/>
  <cacheFields count="2">
    <cacheField name="location" numFmtId="0">
      <sharedItems count="15">
        <s v="United States"/>
        <s v="New York, NY"/>
        <s v="Chicago, IL"/>
        <s v="Houston, TX"/>
        <s v="Dallas, TX"/>
        <s v="Atlanta, GA"/>
        <s v="Boston, MA"/>
        <s v="Austin, TX"/>
        <s v="Charlotte, NC"/>
        <s v="Phoenix, AZ"/>
        <s v="Washington, DC"/>
        <s v="Los Angeles, CA"/>
        <s v="San Francisco, CA"/>
        <s v="New York City Metropolitan Area"/>
        <s v="Seattle, WA"/>
      </sharedItems>
    </cacheField>
    <cacheField name="job_count" numFmtId="0">
      <sharedItems containsSemiMixedTypes="0" containsString="0" containsNumber="1" containsInteger="1" minValue="818" maxValue="8125" count="15">
        <n v="8125"/>
        <n v="2756"/>
        <n v="1834"/>
        <n v="1762"/>
        <n v="1383"/>
        <n v="1363"/>
        <n v="1176"/>
        <n v="1083"/>
        <n v="1075"/>
        <n v="1059"/>
        <n v="985"/>
        <n v="972"/>
        <n v="884"/>
        <n v="837"/>
        <n v="8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KHATRI" refreshedDate="46245.945403819445" backgroundQuery="1" createdVersion="8" refreshedVersion="8" minRefreshableVersion="3" recordCount="15" xr:uid="{60D9D668-D70C-4012-A5AB-54C9A9377131}">
  <cacheSource type="external" connectionId="12"/>
  <cacheFields count="3">
    <cacheField name="location" numFmtId="0">
      <sharedItems count="15">
        <s v="San Mateo, CA"/>
        <s v="Foster City, CA"/>
        <s v="Mountain View, CA"/>
        <s v="Rahway, NJ"/>
        <s v="San Francisco Bay Area"/>
        <s v="Sunnyvale, CA"/>
        <s v="Los Gatos, CA"/>
        <s v="Palo Alto, CA"/>
        <s v="Stockton, CA"/>
        <s v="Santa Clara, CA"/>
        <s v="San Jose, CA"/>
        <s v="Menlo Park, CA"/>
        <s v="Reston, VA"/>
        <s v="New York, United States"/>
        <s v="San Francisco, CA"/>
      </sharedItems>
    </cacheField>
    <cacheField name="avg_salary" numFmtId="0">
      <sharedItems containsSemiMixedTypes="0" containsString="0" containsNumber="1" containsInteger="1" minValue="139403" maxValue="199605" count="15">
        <n v="199605"/>
        <n v="178323"/>
        <n v="163085"/>
        <n v="158828"/>
        <n v="155311"/>
        <n v="153622"/>
        <n v="149048"/>
        <n v="146503"/>
        <n v="146210"/>
        <n v="145272"/>
        <n v="144306"/>
        <n v="142121"/>
        <n v="142027"/>
        <n v="140753"/>
        <n v="139403"/>
      </sharedItems>
    </cacheField>
    <cacheField name="n" numFmtId="0">
      <sharedItems containsSemiMixedTypes="0" containsString="0" containsNumber="1" containsInteger="1" minValue="16" maxValue="399" count="15">
        <n v="33"/>
        <n v="44"/>
        <n v="58"/>
        <n v="29"/>
        <n v="147"/>
        <n v="98"/>
        <n v="16"/>
        <n v="67"/>
        <n v="24"/>
        <n v="89"/>
        <n v="230"/>
        <n v="38"/>
        <n v="46"/>
        <n v="264"/>
        <n v="3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KHATRI" refreshedDate="46245.950229282411" backgroundQuery="1" createdVersion="8" refreshedVersion="8" minRefreshableVersion="3" recordCount="20" xr:uid="{824C0927-3321-45D5-AD93-B75180333479}">
  <cacheSource type="external" connectionId="22"/>
  <cacheFields count="3">
    <cacheField name="title" numFmtId="0">
      <sharedItems count="20">
        <s v="senior software engineer"/>
        <s v="attorney"/>
        <s v="software engineer"/>
        <s v="senior project manager"/>
        <s v="financial controller"/>
        <s v="controller"/>
        <s v="full stack engineer"/>
        <s v="tax manager"/>
        <s v="product manager"/>
        <s v="program manager"/>
        <s v="finance manager"/>
        <s v="assistant controller"/>
        <s v="associate attorney"/>
        <s v="sales manager"/>
        <s v="construction superintendent"/>
        <s v="business analyst"/>
        <s v="construction project manager"/>
        <s v="electrical engineer"/>
        <s v="project manager"/>
        <s v="senior financial analyst"/>
      </sharedItems>
    </cacheField>
    <cacheField name="avg_salary" numFmtId="0">
      <sharedItems containsSemiMixedTypes="0" containsString="0" containsNumber="1" containsInteger="1" minValue="107521" maxValue="165161" count="20">
        <n v="165161"/>
        <n v="152929"/>
        <n v="149497"/>
        <n v="142617"/>
        <n v="139843"/>
        <n v="138431"/>
        <n v="137374"/>
        <n v="133396"/>
        <n v="128046"/>
        <n v="126874"/>
        <n v="123266"/>
        <n v="122580"/>
        <n v="122370"/>
        <n v="118504"/>
        <n v="114732"/>
        <n v="113165"/>
        <n v="112969"/>
        <n v="111858"/>
        <n v="111407"/>
        <n v="107521"/>
      </sharedItems>
    </cacheField>
    <cacheField name="n" numFmtId="0">
      <sharedItems containsSemiMixedTypes="0" containsString="0" containsNumber="1" containsInteger="1" minValue="21" maxValue="123" count="18">
        <n v="56"/>
        <n v="24"/>
        <n v="60"/>
        <n v="31"/>
        <n v="23"/>
        <n v="98"/>
        <n v="21"/>
        <n v="39"/>
        <n v="30"/>
        <n v="32"/>
        <n v="33"/>
        <n v="36"/>
        <n v="28"/>
        <n v="44"/>
        <n v="34"/>
        <n v="45"/>
        <n v="123"/>
        <n v="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KHATRI" refreshedDate="46245.951538657406" backgroundQuery="1" createdVersion="8" refreshedVersion="8" minRefreshableVersion="3" recordCount="6" xr:uid="{8BD68828-FF8E-4D4A-971B-8BFB0ACDDA25}">
  <cacheSource type="external" connectionId="10"/>
  <cacheFields count="3">
    <cacheField name="formatted_experience_level" numFmtId="0">
      <sharedItems count="6">
        <s v="Executive"/>
        <s v="Director"/>
        <s v="Mid-Senior level"/>
        <s v="Associate"/>
        <s v="Entry level"/>
        <s v="Internship"/>
      </sharedItems>
    </cacheField>
    <cacheField name="avg_salary" numFmtId="0">
      <sharedItems containsSemiMixedTypes="0" containsString="0" containsNumber="1" containsInteger="1" minValue="53161" maxValue="196770" count="6">
        <n v="196770"/>
        <n v="170657"/>
        <n v="113108"/>
        <n v="83113"/>
        <n v="65231"/>
        <n v="53161"/>
      </sharedItems>
    </cacheField>
    <cacheField name="n" numFmtId="0">
      <sharedItems containsSemiMixedTypes="0" containsString="0" containsNumber="1" containsInteger="1" minValue="365" maxValue="12713" count="6">
        <n v="375"/>
        <n v="1259"/>
        <n v="12713"/>
        <n v="3807"/>
        <n v="9022"/>
        <n v="36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KHATRI" refreshedDate="46245.954304398147" backgroundQuery="1" createdVersion="8" refreshedVersion="8" minRefreshableVersion="3" recordCount="7" xr:uid="{D38CE60B-1D09-464B-B72C-651319A66710}">
  <cacheSource type="external" connectionId="16"/>
  <cacheFields count="3">
    <cacheField name="formatted_work_type" numFmtId="0">
      <sharedItems count="7">
        <s v="Contract"/>
        <s v="Full-time"/>
        <s v="Other"/>
        <s v="Temporary"/>
        <s v="Part-time"/>
        <s v="Internship"/>
        <s v="Volunteer"/>
      </sharedItems>
    </cacheField>
    <cacheField name="avg_salary" numFmtId="0">
      <sharedItems containsSemiMixedTypes="0" containsString="0" containsNumber="1" containsInteger="1" minValue="46788" maxValue="102679" count="7">
        <n v="102679"/>
        <n v="98406"/>
        <n v="76583"/>
        <n v="74561"/>
        <n v="59853"/>
        <n v="54850"/>
        <n v="46788"/>
      </sharedItems>
    </cacheField>
    <cacheField name="n" numFmtId="0">
      <sharedItems containsSemiMixedTypes="0" containsString="0" containsNumber="1" containsInteger="1" minValue="3" maxValue="28790" count="7">
        <n v="3726"/>
        <n v="28790"/>
        <n v="136"/>
        <n v="383"/>
        <n v="2258"/>
        <n v="227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x v="0"/>
    <x v="0"/>
    <n v="171"/>
  </r>
  <r>
    <x v="0"/>
    <x v="1"/>
    <n v="108"/>
  </r>
  <r>
    <x v="0"/>
    <x v="2"/>
    <n v="35"/>
  </r>
  <r>
    <x v="0"/>
    <x v="3"/>
    <n v="25"/>
  </r>
  <r>
    <x v="0"/>
    <x v="4"/>
    <n v="11"/>
  </r>
  <r>
    <x v="0"/>
    <x v="5"/>
    <n v="6"/>
  </r>
  <r>
    <x v="0"/>
    <x v="6"/>
    <n v="6"/>
  </r>
  <r>
    <x v="0"/>
    <x v="7"/>
    <n v="4"/>
  </r>
  <r>
    <x v="0"/>
    <x v="8"/>
    <n v="3"/>
  </r>
  <r>
    <x v="0"/>
    <x v="9"/>
    <n v="1"/>
  </r>
  <r>
    <x v="0"/>
    <x v="10"/>
    <n v="1"/>
  </r>
  <r>
    <x v="1"/>
    <x v="0"/>
    <n v="226"/>
  </r>
  <r>
    <x v="1"/>
    <x v="3"/>
    <n v="96"/>
  </r>
  <r>
    <x v="1"/>
    <x v="1"/>
    <n v="9"/>
  </r>
  <r>
    <x v="1"/>
    <x v="11"/>
    <n v="4"/>
  </r>
  <r>
    <x v="1"/>
    <x v="5"/>
    <n v="3"/>
  </r>
  <r>
    <x v="1"/>
    <x v="12"/>
    <n v="3"/>
  </r>
  <r>
    <x v="1"/>
    <x v="2"/>
    <n v="2"/>
  </r>
  <r>
    <x v="1"/>
    <x v="13"/>
    <n v="2"/>
  </r>
  <r>
    <x v="1"/>
    <x v="7"/>
    <n v="1"/>
  </r>
  <r>
    <x v="2"/>
    <x v="0"/>
    <n v="294"/>
  </r>
  <r>
    <x v="2"/>
    <x v="3"/>
    <n v="84"/>
  </r>
  <r>
    <x v="2"/>
    <x v="1"/>
    <n v="78"/>
  </r>
  <r>
    <x v="2"/>
    <x v="2"/>
    <n v="16"/>
  </r>
  <r>
    <x v="2"/>
    <x v="6"/>
    <n v="5"/>
  </r>
  <r>
    <x v="2"/>
    <x v="12"/>
    <n v="3"/>
  </r>
  <r>
    <x v="2"/>
    <x v="5"/>
    <n v="1"/>
  </r>
  <r>
    <x v="2"/>
    <x v="4"/>
    <n v="1"/>
  </r>
  <r>
    <x v="2"/>
    <x v="7"/>
    <n v="1"/>
  </r>
  <r>
    <x v="3"/>
    <x v="0"/>
    <n v="180"/>
  </r>
  <r>
    <x v="3"/>
    <x v="1"/>
    <n v="76"/>
  </r>
  <r>
    <x v="3"/>
    <x v="3"/>
    <n v="60"/>
  </r>
  <r>
    <x v="3"/>
    <x v="4"/>
    <n v="19"/>
  </r>
  <r>
    <x v="3"/>
    <x v="2"/>
    <n v="12"/>
  </r>
  <r>
    <x v="3"/>
    <x v="5"/>
    <n v="2"/>
  </r>
  <r>
    <x v="3"/>
    <x v="8"/>
    <n v="2"/>
  </r>
  <r>
    <x v="3"/>
    <x v="14"/>
    <n v="2"/>
  </r>
  <r>
    <x v="3"/>
    <x v="13"/>
    <n v="1"/>
  </r>
  <r>
    <x v="3"/>
    <x v="12"/>
    <n v="1"/>
  </r>
  <r>
    <x v="3"/>
    <x v="11"/>
    <n v="1"/>
  </r>
  <r>
    <x v="3"/>
    <x v="7"/>
    <n v="1"/>
  </r>
  <r>
    <x v="4"/>
    <x v="4"/>
    <n v="253"/>
  </r>
  <r>
    <x v="4"/>
    <x v="0"/>
    <n v="237"/>
  </r>
  <r>
    <x v="4"/>
    <x v="3"/>
    <n v="150"/>
  </r>
  <r>
    <x v="4"/>
    <x v="1"/>
    <n v="70"/>
  </r>
  <r>
    <x v="4"/>
    <x v="12"/>
    <n v="56"/>
  </r>
  <r>
    <x v="4"/>
    <x v="5"/>
    <n v="30"/>
  </r>
  <r>
    <x v="4"/>
    <x v="15"/>
    <n v="19"/>
  </r>
  <r>
    <x v="4"/>
    <x v="2"/>
    <n v="17"/>
  </r>
  <r>
    <x v="4"/>
    <x v="13"/>
    <n v="14"/>
  </r>
  <r>
    <x v="4"/>
    <x v="16"/>
    <n v="7"/>
  </r>
  <r>
    <x v="4"/>
    <x v="17"/>
    <n v="6"/>
  </r>
  <r>
    <x v="4"/>
    <x v="18"/>
    <n v="5"/>
  </r>
  <r>
    <x v="4"/>
    <x v="8"/>
    <n v="4"/>
  </r>
  <r>
    <x v="4"/>
    <x v="6"/>
    <n v="4"/>
  </r>
  <r>
    <x v="4"/>
    <x v="19"/>
    <n v="3"/>
  </r>
  <r>
    <x v="4"/>
    <x v="20"/>
    <n v="2"/>
  </r>
  <r>
    <x v="4"/>
    <x v="21"/>
    <n v="2"/>
  </r>
  <r>
    <x v="4"/>
    <x v="7"/>
    <n v="2"/>
  </r>
  <r>
    <x v="4"/>
    <x v="9"/>
    <n v="2"/>
  </r>
  <r>
    <x v="4"/>
    <x v="22"/>
    <n v="1"/>
  </r>
  <r>
    <x v="4"/>
    <x v="14"/>
    <n v="1"/>
  </r>
  <r>
    <x v="4"/>
    <x v="23"/>
    <n v="1"/>
  </r>
  <r>
    <x v="4"/>
    <x v="24"/>
    <n v="1"/>
  </r>
  <r>
    <x v="4"/>
    <x v="25"/>
    <n v="1"/>
  </r>
  <r>
    <x v="4"/>
    <x v="26"/>
    <n v="1"/>
  </r>
  <r>
    <x v="4"/>
    <x v="27"/>
    <n v="1"/>
  </r>
  <r>
    <x v="4"/>
    <x v="28"/>
    <n v="1"/>
  </r>
  <r>
    <x v="4"/>
    <x v="29"/>
    <n v="1"/>
  </r>
  <r>
    <x v="4"/>
    <x v="30"/>
    <n v="1"/>
  </r>
  <r>
    <x v="4"/>
    <x v="10"/>
    <n v="1"/>
  </r>
  <r>
    <x v="5"/>
    <x v="0"/>
    <n v="39"/>
  </r>
  <r>
    <x v="5"/>
    <x v="1"/>
    <n v="17"/>
  </r>
  <r>
    <x v="5"/>
    <x v="3"/>
    <n v="15"/>
  </r>
  <r>
    <x v="5"/>
    <x v="2"/>
    <n v="1"/>
  </r>
  <r>
    <x v="6"/>
    <x v="0"/>
    <n v="52"/>
  </r>
  <r>
    <x v="6"/>
    <x v="3"/>
    <n v="12"/>
  </r>
  <r>
    <x v="6"/>
    <x v="1"/>
    <n v="2"/>
  </r>
  <r>
    <x v="6"/>
    <x v="4"/>
    <n v="2"/>
  </r>
  <r>
    <x v="6"/>
    <x v="2"/>
    <n v="1"/>
  </r>
  <r>
    <x v="7"/>
    <x v="0"/>
    <n v="644"/>
  </r>
  <r>
    <x v="7"/>
    <x v="3"/>
    <n v="36"/>
  </r>
  <r>
    <x v="7"/>
    <x v="1"/>
    <n v="11"/>
  </r>
  <r>
    <x v="7"/>
    <x v="13"/>
    <n v="7"/>
  </r>
  <r>
    <x v="7"/>
    <x v="4"/>
    <n v="4"/>
  </r>
  <r>
    <x v="7"/>
    <x v="7"/>
    <n v="2"/>
  </r>
  <r>
    <x v="7"/>
    <x v="31"/>
    <n v="2"/>
  </r>
  <r>
    <x v="7"/>
    <x v="32"/>
    <n v="1"/>
  </r>
  <r>
    <x v="7"/>
    <x v="5"/>
    <n v="1"/>
  </r>
  <r>
    <x v="7"/>
    <x v="2"/>
    <n v="1"/>
  </r>
  <r>
    <x v="8"/>
    <x v="0"/>
    <n v="80"/>
  </r>
  <r>
    <x v="8"/>
    <x v="3"/>
    <n v="11"/>
  </r>
  <r>
    <x v="8"/>
    <x v="1"/>
    <n v="4"/>
  </r>
  <r>
    <x v="8"/>
    <x v="13"/>
    <n v="2"/>
  </r>
  <r>
    <x v="8"/>
    <x v="12"/>
    <n v="1"/>
  </r>
  <r>
    <x v="9"/>
    <x v="2"/>
    <n v="243"/>
  </r>
  <r>
    <x v="9"/>
    <x v="1"/>
    <n v="131"/>
  </r>
  <r>
    <x v="9"/>
    <x v="0"/>
    <n v="123"/>
  </r>
  <r>
    <x v="9"/>
    <x v="5"/>
    <n v="44"/>
  </r>
  <r>
    <x v="9"/>
    <x v="3"/>
    <n v="34"/>
  </r>
  <r>
    <x v="9"/>
    <x v="13"/>
    <n v="34"/>
  </r>
  <r>
    <x v="9"/>
    <x v="9"/>
    <n v="31"/>
  </r>
  <r>
    <x v="9"/>
    <x v="6"/>
    <n v="17"/>
  </r>
  <r>
    <x v="9"/>
    <x v="4"/>
    <n v="10"/>
  </r>
  <r>
    <x v="9"/>
    <x v="8"/>
    <n v="5"/>
  </r>
  <r>
    <x v="9"/>
    <x v="12"/>
    <n v="3"/>
  </r>
  <r>
    <x v="9"/>
    <x v="7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  <r>
    <x v="11"/>
    <x v="11"/>
    <x v="11"/>
  </r>
  <r>
    <x v="12"/>
    <x v="12"/>
    <x v="12"/>
  </r>
  <r>
    <x v="13"/>
    <x v="13"/>
    <x v="13"/>
  </r>
  <r>
    <x v="14"/>
    <x v="14"/>
    <x v="1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4"/>
  </r>
  <r>
    <x v="11"/>
    <x v="11"/>
    <x v="4"/>
  </r>
  <r>
    <x v="12"/>
    <x v="12"/>
    <x v="10"/>
  </r>
  <r>
    <x v="13"/>
    <x v="13"/>
    <x v="11"/>
  </r>
  <r>
    <x v="14"/>
    <x v="14"/>
    <x v="12"/>
  </r>
  <r>
    <x v="15"/>
    <x v="15"/>
    <x v="13"/>
  </r>
  <r>
    <x v="16"/>
    <x v="16"/>
    <x v="14"/>
  </r>
  <r>
    <x v="17"/>
    <x v="17"/>
    <x v="15"/>
  </r>
  <r>
    <x v="18"/>
    <x v="18"/>
    <x v="16"/>
  </r>
  <r>
    <x v="19"/>
    <x v="19"/>
    <x v="1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765DE-8D98-4E7D-B21B-65E2784026A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 fieldListSortAscending="1">
  <location ref="A1:B17" firstHeaderRow="1" firstDataRow="1" firstDataCol="1"/>
  <pivotFields count="2">
    <pivotField axis="axisRow" showAll="0">
      <items count="16">
        <item x="9"/>
        <item x="1"/>
        <item x="3"/>
        <item x="11"/>
        <item x="2"/>
        <item x="13"/>
        <item x="12"/>
        <item x="7"/>
        <item x="10"/>
        <item x="8"/>
        <item x="14"/>
        <item x="4"/>
        <item x="0"/>
        <item x="5"/>
        <item x="6"/>
        <item t="default"/>
      </items>
    </pivotField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demand" fld="1" baseField="0" baseItem="0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9109E-DFF1-47A5-9DD4-42FB5D9F01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9:B33" firstHeaderRow="1" firstDataRow="1" firstDataCol="1"/>
  <pivotFields count="2">
    <pivotField axis="axisRow" allDrilled="1" subtotalTop="0" showAll="0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demand" fld="1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skill_demand_by_category">
        <x15:activeTabTopLevelEntity name="[skill_demand_by_categ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C7510-1FDC-43F7-BF1D-DAF55ABC6C8E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fieldListSortAscending="1">
  <location ref="D1:E22" firstHeaderRow="1" firstDataRow="1" firstDataCol="1"/>
  <pivotFields count="2">
    <pivotField axis="axisRow" showAll="0">
      <items count="21">
        <item x="4"/>
        <item x="5"/>
        <item x="9"/>
        <item x="11"/>
        <item x="13"/>
        <item x="0"/>
        <item x="8"/>
        <item x="2"/>
        <item x="10"/>
        <item x="12"/>
        <item x="15"/>
        <item x="1"/>
        <item x="18"/>
        <item x="17"/>
        <item x="14"/>
        <item x="3"/>
        <item x="7"/>
        <item x="19"/>
        <item x="6"/>
        <item x="16"/>
        <item t="default"/>
      </items>
    </pivotField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demand" fld="1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68F91-F987-4421-8939-84031C2A4486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fieldListSortAscending="1">
  <location ref="A35:AI47" firstHeaderRow="1" firstDataRow="2" firstDataCol="1"/>
  <pivotFields count="3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34">
        <item x="2"/>
        <item x="12"/>
        <item x="10"/>
        <item x="17"/>
        <item x="5"/>
        <item x="0"/>
        <item x="8"/>
        <item x="14"/>
        <item x="22"/>
        <item x="1"/>
        <item x="9"/>
        <item x="13"/>
        <item x="23"/>
        <item x="20"/>
        <item x="24"/>
        <item x="25"/>
        <item x="21"/>
        <item x="3"/>
        <item x="26"/>
        <item x="27"/>
        <item x="6"/>
        <item x="18"/>
        <item x="4"/>
        <item x="28"/>
        <item x="29"/>
        <item x="30"/>
        <item x="15"/>
        <item x="32"/>
        <item x="31"/>
        <item x="11"/>
        <item x="16"/>
        <item x="7"/>
        <item x="1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1">
    <dataField name="Sum of demand" fld="2" baseField="0" baseItem="0"/>
  </dataFields>
  <chartFormats count="66">
    <chartFormat chart="7" format="2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2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2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2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2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2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" format="2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7" format="2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7" format="2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7" format="2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7" format="2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7" format="2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7" format="2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7" format="2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7" format="2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7" format="2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7" format="2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7" format="2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7" format="2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7" format="2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7" format="2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7" format="2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7" format="2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7" format="2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7" format="2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7" format="2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7" format="2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7" format="2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7" format="2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7" format="2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9" format="3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3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3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3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3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3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3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3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9" format="3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9" format="3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9" format="3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9" format="3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9" format="3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9" format="3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9" format="3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9" format="3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9" format="3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9" format="3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9" format="3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9" format="3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9" format="3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9" format="3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9" format="3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9" format="3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9" format="3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9" format="3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9" format="3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9" format="3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9" format="3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9" format="3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9" format="3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9" format="3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9" format="3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4CEEA-D39A-4741-B046-F6C634320F9B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fieldListSortAscending="1">
  <location ref="D1:E17" firstHeaderRow="1" firstDataRow="1" firstDataCol="1"/>
  <pivotFields count="3">
    <pivotField axis="axisRow" showAll="0">
      <items count="16">
        <item x="1"/>
        <item x="6"/>
        <item x="11"/>
        <item x="2"/>
        <item x="13"/>
        <item x="7"/>
        <item x="3"/>
        <item x="12"/>
        <item x="4"/>
        <item x="14"/>
        <item x="10"/>
        <item x="0"/>
        <item x="9"/>
        <item x="8"/>
        <item x="5"/>
        <item t="default"/>
      </items>
    </pivotField>
    <pivotField dataField="1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6">
        <item x="6"/>
        <item x="8"/>
        <item x="3"/>
        <item x="0"/>
        <item x="11"/>
        <item x="1"/>
        <item x="12"/>
        <item x="2"/>
        <item x="7"/>
        <item x="9"/>
        <item x="5"/>
        <item x="4"/>
        <item x="10"/>
        <item x="13"/>
        <item x="14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avg_salary" fld="1" baseField="0" baseItem="0"/>
  </dataFields>
  <chartFormats count="2">
    <chartFormat chart="11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229F9-DE10-47F5-B537-8F0FABD49F4F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fieldListSortAscending="1">
  <location ref="A1:B17" firstHeaderRow="1" firstDataRow="1" firstDataCol="1"/>
  <pivotFields count="2">
    <pivotField axis="axisRow" showAll="0">
      <items count="16">
        <item x="5"/>
        <item x="7"/>
        <item x="6"/>
        <item x="8"/>
        <item x="2"/>
        <item x="4"/>
        <item x="3"/>
        <item x="11"/>
        <item x="13"/>
        <item x="1"/>
        <item x="9"/>
        <item x="12"/>
        <item x="14"/>
        <item x="0"/>
        <item x="10"/>
        <item t="default"/>
      </items>
    </pivotField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job_count" fld="1" baseField="0" baseItem="0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4BA4F-A5E1-4103-86A0-D668993BF3D7}" name="PivotTable1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fieldListSortAscending="1">
  <location ref="D10:E18" firstHeaderRow="1" firstDataRow="1" firstDataCol="1"/>
  <pivotFields count="3">
    <pivotField axis="axisRow" showAll="0">
      <items count="8">
        <item x="0"/>
        <item x="1"/>
        <item x="5"/>
        <item x="2"/>
        <item x="4"/>
        <item x="3"/>
        <item x="6"/>
        <item t="default"/>
      </items>
    </pivotField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vg_salary" fld="1" baseField="0" baseItem="0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943B2-FFE1-4FCD-A7B8-1B902629D93F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fieldListSortAscending="1">
  <location ref="D1:E8" firstHeaderRow="1" firstDataRow="1" firstDataCol="1"/>
  <pivotFields count="3">
    <pivotField axis="axisRow" showAll="0">
      <items count="7">
        <item x="3"/>
        <item x="1"/>
        <item x="4"/>
        <item x="0"/>
        <item x="5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vg_salary" fld="1" baseField="0" baseItem="0"/>
  </dataFields>
  <chartFormats count="14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0FDA0-93C1-4303-947C-A0F81F97C4B6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fieldListSortAscending="1">
  <location ref="A1:B22" firstHeaderRow="1" firstDataRow="1" firstDataCol="1"/>
  <pivotFields count="3">
    <pivotField axis="axisRow" showAll="0">
      <items count="21">
        <item x="11"/>
        <item x="12"/>
        <item x="1"/>
        <item x="15"/>
        <item x="16"/>
        <item x="14"/>
        <item x="5"/>
        <item x="17"/>
        <item x="10"/>
        <item x="4"/>
        <item x="6"/>
        <item x="8"/>
        <item x="9"/>
        <item x="18"/>
        <item x="13"/>
        <item x="19"/>
        <item x="3"/>
        <item x="0"/>
        <item x="2"/>
        <item x="7"/>
        <item t="default"/>
      </items>
    </pivotField>
    <pivotField dataField="1"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avg_salary" fld="1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8" xr16:uid="{E38A054A-BD05-4405-A6BA-2291906190D5}" autoFormatId="16" applyNumberFormats="0" applyBorderFormats="0" applyFontFormats="0" applyPatternFormats="0" applyAlignmentFormats="0" applyWidthHeightFormats="0">
  <queryTableRefresh nextId="4">
    <queryTableFields count="3">
      <queryTableField id="1" name="experience_level" tableColumnId="1"/>
      <queryTableField id="2" name="job_count" tableColumnId="2"/>
      <queryTableField id="3" name="pct" tableColumnId="3"/>
    </queryTableFields>
  </queryTableRefresh>
  <extLst>
    <ext xmlns:x15="http://schemas.microsoft.com/office/spreadsheetml/2010/11/main" uri="{883FBD77-0823-4a55-B5E3-86C4891E6966}">
      <x15:queryTable sourceDataName="Query - experience_level_distributio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backgroundRefresh="0" connectionId="1" xr16:uid="{406670A5-4560-4CB3-8846-B2A4FA5DBAB3}" autoFormatId="16" applyNumberFormats="0" applyBorderFormats="0" applyFontFormats="0" applyPatternFormats="0" applyAlignmentFormats="0" applyWidthHeightFormats="0">
  <queryTableRefresh nextId="4">
    <queryTableFields count="3">
      <queryTableField id="1" name="title" tableColumnId="1"/>
      <queryTableField id="2" name="avg_salary" tableColumnId="2"/>
      <queryTableField id="3" name="n" tableColumnId="3"/>
    </queryTableFields>
  </queryTableRefresh>
  <extLst>
    <ext xmlns:x15="http://schemas.microsoft.com/office/spreadsheetml/2010/11/main" uri="{883FBD77-0823-4a55-B5E3-86C4891E6966}">
      <x15:queryTable sourceDataName="Query - avg_salary_by_rol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backgroundRefresh="0" connectionId="2" xr16:uid="{7430E671-A580-4EE3-8558-FDC1FF83931F}" autoFormatId="16" applyNumberFormats="0" applyBorderFormats="0" applyFontFormats="0" applyPatternFormats="0" applyAlignmentFormats="0" applyWidthHeightFormats="0">
  <queryTableRefresh nextId="3">
    <queryTableFields count="2">
      <queryTableField id="1" name="clean_title" tableColumnId="1"/>
      <queryTableField id="2" name="job_count" tableColumnId="2"/>
    </queryTableFields>
  </queryTableRefresh>
  <extLst>
    <ext xmlns:x15="http://schemas.microsoft.com/office/spreadsheetml/2010/11/main" uri="{883FBD77-0823-4a55-B5E3-86C4891E6966}">
      <x15:queryTable sourceDataName="Query - top job title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backgroundRefresh="0" connectionId="3" xr16:uid="{38FBE8A3-A4BB-4C02-9F6E-C27D08FFF90B}" autoFormatId="16" applyNumberFormats="0" applyBorderFormats="0" applyFontFormats="0" applyPatternFormats="0" applyAlignmentFormats="0" applyWidthHeightFormats="0">
  <queryTableRefresh nextId="3">
    <queryTableFields count="2">
      <queryTableField id="1" name="skill" tableColumnId="1"/>
      <queryTableField id="2" name="demand" tableColumnId="2"/>
    </queryTableFields>
  </queryTableRefresh>
  <extLst>
    <ext xmlns:x15="http://schemas.microsoft.com/office/spreadsheetml/2010/11/main" uri="{883FBD77-0823-4a55-B5E3-86C4891E6966}">
      <x15:queryTable sourceDataName="Query - skills_by_role_data_analyst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backgroundRefresh="0" connectionId="4" xr16:uid="{DEA08B84-8D30-422D-9ED6-B3CE75A364BA}" autoFormatId="16" applyNumberFormats="0" applyBorderFormats="0" applyFontFormats="0" applyPatternFormats="0" applyAlignmentFormats="0" applyWidthHeightFormats="0">
  <queryTableRefresh nextId="4">
    <queryTableFields count="3">
      <queryTableField id="1" name="title" tableColumnId="1"/>
      <queryTableField id="2" name="skill" tableColumnId="2"/>
      <queryTableField id="3" name="demand" tableColumnId="3"/>
    </queryTableFields>
  </queryTableRefresh>
  <extLst>
    <ext xmlns:x15="http://schemas.microsoft.com/office/spreadsheetml/2010/11/main" uri="{883FBD77-0823-4a55-B5E3-86C4891E6966}">
      <x15:queryTable sourceDataName="Query - skills_by_top_10_roles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backgroundRefresh="0" connectionId="5" xr16:uid="{54653589-D7BF-42B1-ACDE-E84B275F4EB5}" autoFormatId="16" applyNumberFormats="0" applyBorderFormats="0" applyFontFormats="0" applyPatternFormats="0" applyAlignmentFormats="0" applyWidthHeightFormats="0">
  <queryTableRefresh nextId="3">
    <queryTableFields count="2">
      <queryTableField id="1" name="company_name" tableColumnId="1"/>
      <queryTableField id="2" name="job_count" tableColumnId="2"/>
    </queryTableFields>
  </queryTableRefresh>
  <extLst>
    <ext xmlns:x15="http://schemas.microsoft.com/office/spreadsheetml/2010/11/main" uri="{883FBD77-0823-4a55-B5E3-86C4891E6966}">
      <x15:queryTable sourceDataName="Query - top_hiring_companies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backgroundRefresh="0" connectionId="6" xr16:uid="{45115137-7525-4404-8935-EE55C4F69B50}" autoFormatId="16" applyNumberFormats="0" applyBorderFormats="0" applyFontFormats="0" applyPatternFormats="0" applyAlignmentFormats="0" applyWidthHeightFormats="0">
  <queryTableRefresh nextId="3">
    <queryTableFields count="2">
      <queryTableField id="1" name="location" tableColumnId="1"/>
      <queryTableField id="2" name="job_count" tableColumnId="2"/>
    </queryTableFields>
  </queryTableRefresh>
  <extLst>
    <ext xmlns:x15="http://schemas.microsoft.com/office/spreadsheetml/2010/11/main" uri="{883FBD77-0823-4a55-B5E3-86C4891E6966}">
      <x15:queryTable sourceDataName="Query - top_locations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backgroundRefresh="0" connectionId="7" xr16:uid="{78CB0869-7AE1-4304-9538-CAFA244057AF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demand" tableColumnId="2"/>
    </queryTableFields>
  </queryTableRefresh>
  <extLst>
    <ext xmlns:x15="http://schemas.microsoft.com/office/spreadsheetml/2010/11/main" uri="{883FBD77-0823-4a55-B5E3-86C4891E6966}">
      <x15:queryTable sourceDataName="Query - skill_demand_by_category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9" xr16:uid="{3C36DE29-EC91-4F7E-AC80-3DDCDCF83C70}" autoFormatId="16" applyNumberFormats="0" applyBorderFormats="0" applyFontFormats="0" applyPatternFormats="0" applyAlignmentFormats="0" applyWidthHeightFormats="0">
  <queryTableRefresh nextId="4">
    <queryTableFields count="3">
      <queryTableField id="1" name="formatted_experience_level" tableColumnId="1"/>
      <queryTableField id="2" name="avg_salary" tableColumnId="2"/>
      <queryTableField id="3" name="n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11" xr16:uid="{CC228C10-5EAB-4903-B434-3B4EB423A113}" autoFormatId="16" applyNumberFormats="0" applyBorderFormats="0" applyFontFormats="0" applyPatternFormats="0" applyAlignmentFormats="0" applyWidthHeightFormats="0">
  <queryTableRefresh nextId="4">
    <queryTableFields count="3">
      <queryTableField id="1" name="location" tableColumnId="1"/>
      <queryTableField id="2" name="avg_salary" tableColumnId="2"/>
      <queryTableField id="3" name="n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15" xr16:uid="{CDBCFB4B-5938-458E-9B11-D0C411CEF081}" autoFormatId="16" applyNumberFormats="0" applyBorderFormats="0" applyFontFormats="0" applyPatternFormats="0" applyAlignmentFormats="0" applyWidthHeightFormats="0">
  <queryTableRefresh nextId="4">
    <queryTableFields count="3">
      <queryTableField id="1" name="formatted_work_type" tableColumnId="1"/>
      <queryTableField id="2" name="avg_salary" tableColumnId="2"/>
      <queryTableField id="3" name="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7F220D-0B6E-47AE-BC25-2ED1C02C6739}" name="Sheet1__48" displayName="Sheet1__48" ref="K1:M8" tableType="queryTable" totalsRowShown="0">
  <autoFilter ref="K1:M8" xr:uid="{6B7F220D-0B6E-47AE-BC25-2ED1C02C6739}"/>
  <tableColumns count="3">
    <tableColumn id="1" xr3:uid="{E07348A5-386A-44A0-A90A-76FA1A465218}" uniqueName="1" name="experience_level" queryTableFieldId="1" dataDxfId="13"/>
    <tableColumn id="2" xr3:uid="{86320DFD-0B6F-415C-BD8D-3C662894A46D}" uniqueName="2" name="job_count" queryTableFieldId="2" dataDxfId="12"/>
    <tableColumn id="3" xr3:uid="{3C03A0F1-5E4E-416A-821B-85B02C369DA1}" uniqueName="3" name="pct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6CA5EC-6FC7-4C5C-9EDA-769BA1BB78B0}" name="avg_salary_by_role" displayName="avg_salary_by_role" ref="D1:F21" tableType="queryTable" totalsRowShown="0">
  <autoFilter ref="D1:F21" xr:uid="{046CA5EC-6FC7-4C5C-9EDA-769BA1BB78B0}"/>
  <tableColumns count="3">
    <tableColumn id="1" xr3:uid="{1F5B6D62-A2C9-4282-97DA-91E7110B816B}" uniqueName="1" name="title" queryTableFieldId="1" dataDxfId="11"/>
    <tableColumn id="2" xr3:uid="{A11D3389-D076-4F46-8F80-426EF5F99F0E}" uniqueName="2" name="avg_salary" queryTableFieldId="2"/>
    <tableColumn id="3" xr3:uid="{273AFC4C-4BC8-4680-8694-52A0372E3011}" uniqueName="3" name="n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F0AE796-76A0-4D80-A1FE-17A18B3BC14D}" name="Sheet131213" displayName="Sheet131213" ref="A1:B21" tableType="queryTable" totalsRowShown="0">
  <autoFilter ref="A1:B21" xr:uid="{FF0AE796-76A0-4D80-A1FE-17A18B3BC14D}"/>
  <tableColumns count="2">
    <tableColumn id="1" xr3:uid="{ED262480-2DAA-4D42-8DAC-120F36F55C99}" uniqueName="1" name="clean_title" queryTableFieldId="1" dataDxfId="10"/>
    <tableColumn id="2" xr3:uid="{5560178E-B696-4918-807E-F85E6EE6AC2E}" uniqueName="2" name="job_count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A3EDA5C-A3A4-4187-B185-01A99D177A30}" name="skills_by_role_data_analyst" displayName="skills_by_role_data_analyst" ref="A24:B39" tableType="queryTable" totalsRowShown="0">
  <autoFilter ref="A24:B39" xr:uid="{0A3EDA5C-A3A4-4187-B185-01A99D177A30}"/>
  <tableColumns count="2">
    <tableColumn id="1" xr3:uid="{33999D82-49C8-49AD-BD89-623FD7A7B952}" uniqueName="1" name="skill" queryTableFieldId="1" dataDxfId="9"/>
    <tableColumn id="2" xr3:uid="{81AD4BAF-D94D-4B18-A0A9-D010F74E7C20}" uniqueName="2" name="demand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BEC9390-1CDC-4BCD-B6FD-A6E1A97432DA}" name="skills_by_top_10_roles" displayName="skills_by_top_10_roles" ref="D24:F131" tableType="queryTable" totalsRowShown="0">
  <autoFilter ref="D24:F131" xr:uid="{DBEC9390-1CDC-4BCD-B6FD-A6E1A97432DA}"/>
  <tableColumns count="3">
    <tableColumn id="1" xr3:uid="{3C7303EF-33E9-466B-A1D2-6C9F60DF3A58}" uniqueName="1" name="title" queryTableFieldId="1" dataDxfId="8"/>
    <tableColumn id="2" xr3:uid="{7F159F6B-9523-4CC9-AA5E-1C83AB1C4FDA}" uniqueName="2" name="skill" queryTableFieldId="2" dataDxfId="7"/>
    <tableColumn id="3" xr3:uid="{8425B221-9F02-4F59-A8E7-522A4B8D8EC2}" uniqueName="3" name="demand" queryTableField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DB2AC49-D663-4923-92CC-5D16491FC789}" name="top_hiring_companies" displayName="top_hiring_companies" ref="H1:I21" tableType="queryTable" totalsRowShown="0">
  <autoFilter ref="H1:I21" xr:uid="{7DB2AC49-D663-4923-92CC-5D16491FC789}"/>
  <tableColumns count="2">
    <tableColumn id="1" xr3:uid="{E646CF3C-5EA7-4DE3-87F3-04C5EF654E7B}" uniqueName="1" name="company_name" queryTableFieldId="1" dataDxfId="6"/>
    <tableColumn id="2" xr3:uid="{0010A541-732C-4DDE-BED6-8C099926E120}" uniqueName="2" name="job_count" queryTableField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9EA8D14-3ED1-4F7F-8790-433A652A4FB1}" name="Sheet1__918" displayName="Sheet1__918" ref="H24:I39" tableType="queryTable" totalsRowShown="0">
  <autoFilter ref="H24:I39" xr:uid="{F9EA8D14-3ED1-4F7F-8790-433A652A4FB1}"/>
  <tableColumns count="2">
    <tableColumn id="1" xr3:uid="{E0865536-6928-4A8E-BF36-F207AE89BB51}" uniqueName="1" name="location" queryTableFieldId="1" dataDxfId="5"/>
    <tableColumn id="2" xr3:uid="{DE5EC191-74DF-4D86-8CA5-959449B21911}" uniqueName="2" name="job_count" queryTableField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3BF031E-75D9-4654-AD2D-31048FE0D8D8}" name="Sheet1__519" displayName="Sheet1__519" ref="A42:B55" tableType="queryTable" totalsRowShown="0">
  <autoFilter ref="A42:B55" xr:uid="{E3BF031E-75D9-4654-AD2D-31048FE0D8D8}"/>
  <tableColumns count="2">
    <tableColumn id="1" xr3:uid="{4B83B732-B3AC-47DC-BC7D-C7D0488D22A2}" uniqueName="1" name="category" queryTableFieldId="1" dataDxfId="4"/>
    <tableColumn id="2" xr3:uid="{79AC69FB-C8BF-4A35-A91C-65A125007CF6}" uniqueName="2" name="demand" queryTableFieldId="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C9AE8C2-F478-42A7-86D5-6B174B15A7AA}" name="Sheet1__10" displayName="Sheet1__10" ref="H42:I62" totalsRowShown="0">
  <autoFilter ref="H42:I62" xr:uid="{8C9AE8C2-F478-42A7-86D5-6B174B15A7AA}"/>
  <tableColumns count="2">
    <tableColumn id="1" xr3:uid="{C1DC963D-190D-428E-A0E6-3070C97C831E}" name="skill" dataDxfId="3"/>
    <tableColumn id="2" xr3:uid="{2E24191E-75C8-4734-9D87-813FC9CA10C9}" name="deman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0988ED4-2CE3-4D9B-A21E-01C92A2CC6E4}" name="avg_salary_by_experience_level" displayName="avg_salary_by_experience_level" ref="K11:M17" tableType="queryTable" totalsRowShown="0">
  <autoFilter ref="K11:M17" xr:uid="{B0988ED4-2CE3-4D9B-A21E-01C92A2CC6E4}"/>
  <tableColumns count="3">
    <tableColumn id="1" xr3:uid="{6AE2C0B8-D36C-4A6C-9313-B33220CAD3D3}" uniqueName="1" name="formatted_experience_level" queryTableFieldId="1" dataDxfId="2"/>
    <tableColumn id="2" xr3:uid="{4AD27275-69FE-40D8-A7E4-CE1278606424}" uniqueName="2" name="avg_salary" queryTableFieldId="2"/>
    <tableColumn id="3" xr3:uid="{6FF1E9D6-49E2-41ED-B0B3-1BFFF08473DE}" uniqueName="3" name="n" queryTableFieldId="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0027309-86CF-40AC-B0CE-8BC88FBF1BFF}" name="avg_salary_by_location" displayName="avg_salary_by_location" ref="K20:M35" tableType="queryTable" totalsRowShown="0">
  <autoFilter ref="K20:M35" xr:uid="{F0027309-86CF-40AC-B0CE-8BC88FBF1BFF}"/>
  <tableColumns count="3">
    <tableColumn id="1" xr3:uid="{E4AB9720-1603-4F30-8926-A5ED263EF9BD}" uniqueName="1" name="location" queryTableFieldId="1" dataDxfId="1"/>
    <tableColumn id="2" xr3:uid="{B30496D9-50B3-465F-8338-DFB01CFB2ED9}" uniqueName="2" name="avg_salary" queryTableFieldId="2"/>
    <tableColumn id="3" xr3:uid="{46EECC07-2814-4383-BFE3-4CA2F5DE5589}" uniqueName="3" name="n" queryTableField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FAA014E-0E02-440C-A2E4-E3937E8CE1DC}" name="salary_by_work_type" displayName="salary_by_work_type" ref="K38:M45" tableType="queryTable" totalsRowShown="0">
  <autoFilter ref="K38:M45" xr:uid="{2FAA014E-0E02-440C-A2E4-E3937E8CE1DC}"/>
  <tableColumns count="3">
    <tableColumn id="1" xr3:uid="{4BA12825-BF96-4D90-BD35-48D897F682BB}" uniqueName="1" name="formatted_work_type" queryTableFieldId="1" dataDxfId="0"/>
    <tableColumn id="2" xr3:uid="{7A76A58B-1CAB-4021-9B61-B14C9F415687}" uniqueName="2" name="avg_salary" queryTableFieldId="2"/>
    <tableColumn id="3" xr3:uid="{99A46BD8-9979-40D7-B596-C38149A18C1B}" uniqueName="3" name="n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A7E8-7FE7-49FB-B723-E5AC493A5A9E}">
  <dimension ref="B1:U4"/>
  <sheetViews>
    <sheetView showGridLines="0" tabSelected="1" zoomScale="81" workbookViewId="0">
      <selection activeCell="W9" sqref="W9"/>
    </sheetView>
  </sheetViews>
  <sheetFormatPr defaultRowHeight="14.4" x14ac:dyDescent="0.3"/>
  <cols>
    <col min="1" max="1" width="1.77734375" customWidth="1"/>
    <col min="2" max="2" width="12.33203125" customWidth="1"/>
    <col min="3" max="3" width="9" customWidth="1"/>
    <col min="4" max="4" width="17.33203125" customWidth="1"/>
    <col min="5" max="5" width="5.21875" customWidth="1"/>
    <col min="6" max="6" width="16.5546875" customWidth="1"/>
    <col min="7" max="7" width="6.77734375" customWidth="1"/>
    <col min="8" max="8" width="13.33203125" customWidth="1"/>
    <col min="9" max="9" width="9" customWidth="1"/>
    <col min="10" max="10" width="15.109375" customWidth="1"/>
    <col min="11" max="11" width="10.6640625" customWidth="1"/>
    <col min="12" max="12" width="15.33203125" customWidth="1"/>
    <col min="13" max="13" width="5" customWidth="1"/>
    <col min="14" max="14" width="4.33203125" customWidth="1"/>
    <col min="15" max="15" width="15.33203125" customWidth="1"/>
    <col min="17" max="17" width="16" customWidth="1"/>
    <col min="18" max="18" width="7.33203125" customWidth="1"/>
    <col min="19" max="19" width="16.44140625" customWidth="1"/>
    <col min="20" max="20" width="11.5546875" customWidth="1"/>
    <col min="21" max="21" width="1.44140625" hidden="1" customWidth="1"/>
  </cols>
  <sheetData>
    <row r="1" spans="2:20" ht="62.4" customHeight="1" x14ac:dyDescent="0.85">
      <c r="B1" s="8" t="s">
        <v>169</v>
      </c>
    </row>
    <row r="2" spans="2:20" ht="23.4" customHeight="1" x14ac:dyDescent="0.3">
      <c r="B2" s="6" t="s">
        <v>166</v>
      </c>
      <c r="D2" s="9" t="s">
        <v>164</v>
      </c>
      <c r="E2" s="10"/>
      <c r="F2" s="10" t="s">
        <v>165</v>
      </c>
      <c r="G2" s="10"/>
      <c r="H2" s="10" t="s">
        <v>163</v>
      </c>
      <c r="I2" s="10"/>
      <c r="J2" s="10" t="s">
        <v>167</v>
      </c>
      <c r="K2" s="10"/>
      <c r="L2" s="10" t="s">
        <v>168</v>
      </c>
      <c r="M2" s="10"/>
      <c r="N2" s="10"/>
      <c r="O2" s="10" t="s">
        <v>170</v>
      </c>
      <c r="P2" s="10"/>
      <c r="Q2" s="10" t="s">
        <v>171</v>
      </c>
      <c r="R2" s="10"/>
      <c r="S2" s="10" t="s">
        <v>172</v>
      </c>
    </row>
    <row r="3" spans="2:20" ht="38.4" customHeight="1" x14ac:dyDescent="0.7">
      <c r="B3" s="7"/>
      <c r="C3" s="7"/>
      <c r="D3" s="11">
        <v>123849</v>
      </c>
      <c r="E3" s="10"/>
      <c r="F3" s="11">
        <v>24429</v>
      </c>
      <c r="G3" s="10"/>
      <c r="H3" s="11">
        <v>8526</v>
      </c>
      <c r="I3" s="10"/>
      <c r="J3" s="11" t="str">
        <f>"$"&amp;TEXT(95780,"#,##0")</f>
        <v>$95,780</v>
      </c>
      <c r="K3" s="10"/>
      <c r="L3" s="11" t="str">
        <f>12.31&amp;"%"</f>
        <v>12.31%</v>
      </c>
      <c r="M3" s="10"/>
      <c r="N3" s="10"/>
      <c r="O3" s="11" t="str">
        <f>79.7&amp;"%"</f>
        <v>79.7%</v>
      </c>
      <c r="P3" s="10"/>
      <c r="Q3" s="11" t="str">
        <f>29.64&amp;"%"</f>
        <v>29.64%</v>
      </c>
      <c r="R3" s="11"/>
      <c r="S3" s="11">
        <v>6266</v>
      </c>
      <c r="T3" s="7"/>
    </row>
    <row r="4" spans="2:20" ht="25.2" customHeight="1" x14ac:dyDescent="0.3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292DD-8235-4977-A912-66373ADA6DD6}">
  <dimension ref="A1:AN131"/>
  <sheetViews>
    <sheetView workbookViewId="0">
      <selection activeCell="K20" sqref="K20:M35"/>
    </sheetView>
  </sheetViews>
  <sheetFormatPr defaultColWidth="23.6640625" defaultRowHeight="14.4" x14ac:dyDescent="0.3"/>
  <cols>
    <col min="1" max="1" width="27.5546875" bestFit="1" customWidth="1"/>
    <col min="2" max="2" width="11.88671875" bestFit="1" customWidth="1"/>
    <col min="3" max="3" width="11.44140625" customWidth="1"/>
    <col min="4" max="4" width="25.5546875" bestFit="1" customWidth="1"/>
    <col min="5" max="5" width="12.109375" bestFit="1" customWidth="1"/>
    <col min="6" max="6" width="4.33203125" bestFit="1" customWidth="1"/>
    <col min="7" max="7" width="9.33203125" customWidth="1"/>
    <col min="8" max="8" width="39" bestFit="1" customWidth="1"/>
    <col min="9" max="9" width="11.88671875" bestFit="1" customWidth="1"/>
    <col min="10" max="10" width="11" customWidth="1"/>
    <col min="11" max="11" width="17.33203125" bestFit="1" customWidth="1"/>
    <col min="12" max="12" width="11.88671875" bestFit="1" customWidth="1"/>
    <col min="13" max="14" width="5.88671875" bestFit="1" customWidth="1"/>
    <col min="15" max="15" width="10" customWidth="1"/>
    <col min="16" max="16" width="22" bestFit="1" customWidth="1"/>
    <col min="17" max="17" width="12.109375" bestFit="1" customWidth="1"/>
    <col min="18" max="18" width="6" bestFit="1" customWidth="1"/>
  </cols>
  <sheetData>
    <row r="1" spans="1:40" x14ac:dyDescent="0.3">
      <c r="A1" t="s">
        <v>0</v>
      </c>
      <c r="B1" t="s">
        <v>1</v>
      </c>
      <c r="D1" t="s">
        <v>22</v>
      </c>
      <c r="E1" t="s">
        <v>23</v>
      </c>
      <c r="F1" t="s">
        <v>24</v>
      </c>
      <c r="H1" t="s">
        <v>99</v>
      </c>
      <c r="I1" t="s">
        <v>1</v>
      </c>
      <c r="K1" t="s">
        <v>40</v>
      </c>
      <c r="L1" t="s">
        <v>1</v>
      </c>
      <c r="M1" t="s">
        <v>48</v>
      </c>
    </row>
    <row r="2" spans="1:40" x14ac:dyDescent="0.3">
      <c r="A2" t="s">
        <v>2</v>
      </c>
      <c r="B2">
        <v>673</v>
      </c>
      <c r="D2" t="s">
        <v>20</v>
      </c>
      <c r="E2">
        <v>165161</v>
      </c>
      <c r="F2">
        <v>56</v>
      </c>
      <c r="H2" t="s">
        <v>44</v>
      </c>
      <c r="I2">
        <v>1719</v>
      </c>
      <c r="K2" t="s">
        <v>43</v>
      </c>
      <c r="L2">
        <v>41489</v>
      </c>
      <c r="M2">
        <v>33.5</v>
      </c>
    </row>
    <row r="3" spans="1:40" x14ac:dyDescent="0.3">
      <c r="A3" t="s">
        <v>3</v>
      </c>
      <c r="B3">
        <v>482</v>
      </c>
      <c r="D3" t="s">
        <v>25</v>
      </c>
      <c r="E3">
        <v>152929</v>
      </c>
      <c r="F3">
        <v>24</v>
      </c>
      <c r="H3" t="s">
        <v>100</v>
      </c>
      <c r="I3">
        <v>1108</v>
      </c>
      <c r="K3" t="s">
        <v>47</v>
      </c>
      <c r="L3">
        <v>36708</v>
      </c>
      <c r="M3">
        <v>29.6</v>
      </c>
    </row>
    <row r="4" spans="1:40" x14ac:dyDescent="0.3">
      <c r="A4" t="s">
        <v>4</v>
      </c>
      <c r="B4">
        <v>361</v>
      </c>
      <c r="D4" t="s">
        <v>17</v>
      </c>
      <c r="E4">
        <v>149497</v>
      </c>
      <c r="F4">
        <v>60</v>
      </c>
      <c r="H4" t="s">
        <v>101</v>
      </c>
      <c r="I4">
        <v>1003</v>
      </c>
      <c r="K4" t="s">
        <v>44</v>
      </c>
      <c r="L4">
        <v>29409</v>
      </c>
      <c r="M4">
        <v>23.7</v>
      </c>
    </row>
    <row r="5" spans="1:40" x14ac:dyDescent="0.3">
      <c r="A5" t="s">
        <v>5</v>
      </c>
      <c r="B5">
        <v>320</v>
      </c>
      <c r="D5" t="s">
        <v>26</v>
      </c>
      <c r="E5">
        <v>142617</v>
      </c>
      <c r="F5">
        <v>31</v>
      </c>
      <c r="H5" t="s">
        <v>102</v>
      </c>
      <c r="I5">
        <v>604</v>
      </c>
      <c r="K5" t="s">
        <v>46</v>
      </c>
      <c r="L5">
        <v>9826</v>
      </c>
      <c r="M5">
        <v>7.9</v>
      </c>
    </row>
    <row r="6" spans="1:40" x14ac:dyDescent="0.3">
      <c r="A6" t="s">
        <v>6</v>
      </c>
      <c r="B6">
        <v>261</v>
      </c>
      <c r="D6" t="s">
        <v>27</v>
      </c>
      <c r="E6">
        <v>139843</v>
      </c>
      <c r="F6">
        <v>23</v>
      </c>
      <c r="H6" t="s">
        <v>103</v>
      </c>
      <c r="I6">
        <v>529</v>
      </c>
      <c r="K6" t="s">
        <v>41</v>
      </c>
      <c r="L6">
        <v>3746</v>
      </c>
      <c r="M6">
        <v>3</v>
      </c>
    </row>
    <row r="7" spans="1:40" x14ac:dyDescent="0.3">
      <c r="A7" t="s">
        <v>7</v>
      </c>
      <c r="B7">
        <v>246</v>
      </c>
      <c r="D7" t="s">
        <v>18</v>
      </c>
      <c r="E7">
        <v>138431</v>
      </c>
      <c r="F7">
        <v>98</v>
      </c>
      <c r="H7" t="s">
        <v>104</v>
      </c>
      <c r="I7">
        <v>527</v>
      </c>
      <c r="K7" t="s">
        <v>45</v>
      </c>
      <c r="L7">
        <v>1449</v>
      </c>
      <c r="M7">
        <v>1.2</v>
      </c>
    </row>
    <row r="8" spans="1:40" x14ac:dyDescent="0.3">
      <c r="A8" t="s">
        <v>8</v>
      </c>
      <c r="B8">
        <v>241</v>
      </c>
      <c r="D8" t="s">
        <v>28</v>
      </c>
      <c r="E8">
        <v>137374</v>
      </c>
      <c r="F8">
        <v>21</v>
      </c>
      <c r="H8" t="s">
        <v>105</v>
      </c>
      <c r="I8">
        <v>517</v>
      </c>
      <c r="K8" t="s">
        <v>42</v>
      </c>
      <c r="L8">
        <v>1222</v>
      </c>
      <c r="M8">
        <v>1</v>
      </c>
      <c r="AN8" s="1"/>
    </row>
    <row r="9" spans="1:40" x14ac:dyDescent="0.3">
      <c r="A9" t="s">
        <v>9</v>
      </c>
      <c r="B9">
        <v>232</v>
      </c>
      <c r="D9" t="s">
        <v>29</v>
      </c>
      <c r="E9">
        <v>133396</v>
      </c>
      <c r="F9">
        <v>39</v>
      </c>
      <c r="H9" t="s">
        <v>106</v>
      </c>
      <c r="I9">
        <v>496</v>
      </c>
      <c r="AN9" s="2"/>
    </row>
    <row r="10" spans="1:40" x14ac:dyDescent="0.3">
      <c r="A10" t="s">
        <v>10</v>
      </c>
      <c r="B10">
        <v>216</v>
      </c>
      <c r="D10" t="s">
        <v>30</v>
      </c>
      <c r="E10">
        <v>128046</v>
      </c>
      <c r="F10">
        <v>30</v>
      </c>
      <c r="H10" t="s">
        <v>107</v>
      </c>
      <c r="I10">
        <v>476</v>
      </c>
      <c r="AN10" s="3"/>
    </row>
    <row r="11" spans="1:40" x14ac:dyDescent="0.3">
      <c r="A11" t="s">
        <v>11</v>
      </c>
      <c r="B11">
        <v>205</v>
      </c>
      <c r="D11" t="s">
        <v>31</v>
      </c>
      <c r="E11">
        <v>126874</v>
      </c>
      <c r="F11">
        <v>32</v>
      </c>
      <c r="H11" t="s">
        <v>108</v>
      </c>
      <c r="I11">
        <v>418</v>
      </c>
      <c r="K11" t="s">
        <v>141</v>
      </c>
      <c r="L11" t="s">
        <v>23</v>
      </c>
      <c r="M11" t="s">
        <v>24</v>
      </c>
      <c r="AN11" s="2"/>
    </row>
    <row r="12" spans="1:40" x14ac:dyDescent="0.3">
      <c r="A12" t="s">
        <v>12</v>
      </c>
      <c r="B12">
        <v>204</v>
      </c>
      <c r="D12" t="s">
        <v>32</v>
      </c>
      <c r="E12">
        <v>123266</v>
      </c>
      <c r="F12">
        <v>23</v>
      </c>
      <c r="H12" t="s">
        <v>109</v>
      </c>
      <c r="I12">
        <v>415</v>
      </c>
      <c r="K12" t="s">
        <v>42</v>
      </c>
      <c r="L12">
        <v>196770</v>
      </c>
      <c r="M12">
        <v>375</v>
      </c>
      <c r="AN12" s="3"/>
    </row>
    <row r="13" spans="1:40" x14ac:dyDescent="0.3">
      <c r="A13" t="s">
        <v>13</v>
      </c>
      <c r="B13">
        <v>197</v>
      </c>
      <c r="D13" t="s">
        <v>33</v>
      </c>
      <c r="E13">
        <v>122580</v>
      </c>
      <c r="F13">
        <v>23</v>
      </c>
      <c r="H13" t="s">
        <v>110</v>
      </c>
      <c r="I13">
        <v>388</v>
      </c>
      <c r="K13" t="s">
        <v>41</v>
      </c>
      <c r="L13">
        <v>170657</v>
      </c>
      <c r="M13">
        <v>1259</v>
      </c>
      <c r="AN13" s="2"/>
    </row>
    <row r="14" spans="1:40" x14ac:dyDescent="0.3">
      <c r="A14" t="s">
        <v>14</v>
      </c>
      <c r="B14">
        <v>197</v>
      </c>
      <c r="D14" t="s">
        <v>34</v>
      </c>
      <c r="E14">
        <v>122370</v>
      </c>
      <c r="F14">
        <v>33</v>
      </c>
      <c r="H14" t="s">
        <v>111</v>
      </c>
      <c r="I14">
        <v>381</v>
      </c>
      <c r="K14" t="s">
        <v>43</v>
      </c>
      <c r="L14">
        <v>113108</v>
      </c>
      <c r="M14">
        <v>12713</v>
      </c>
      <c r="AN14" s="3"/>
    </row>
    <row r="15" spans="1:40" x14ac:dyDescent="0.3">
      <c r="A15" t="s">
        <v>15</v>
      </c>
      <c r="B15">
        <v>190</v>
      </c>
      <c r="D15" t="s">
        <v>2</v>
      </c>
      <c r="E15">
        <v>118504</v>
      </c>
      <c r="F15">
        <v>36</v>
      </c>
      <c r="H15" t="s">
        <v>112</v>
      </c>
      <c r="I15">
        <v>343</v>
      </c>
      <c r="K15" t="s">
        <v>46</v>
      </c>
      <c r="L15">
        <v>83113</v>
      </c>
      <c r="M15">
        <v>3807</v>
      </c>
      <c r="AN15" s="2"/>
    </row>
    <row r="16" spans="1:40" x14ac:dyDescent="0.3">
      <c r="A16" t="s">
        <v>16</v>
      </c>
      <c r="B16">
        <v>186</v>
      </c>
      <c r="D16" t="s">
        <v>35</v>
      </c>
      <c r="E16">
        <v>114732</v>
      </c>
      <c r="F16">
        <v>28</v>
      </c>
      <c r="H16" t="s">
        <v>113</v>
      </c>
      <c r="I16">
        <v>333</v>
      </c>
      <c r="K16" t="s">
        <v>47</v>
      </c>
      <c r="L16">
        <v>65231</v>
      </c>
      <c r="M16">
        <v>9022</v>
      </c>
    </row>
    <row r="17" spans="1:13" x14ac:dyDescent="0.3">
      <c r="A17" t="s">
        <v>17</v>
      </c>
      <c r="B17">
        <v>182</v>
      </c>
      <c r="D17" t="s">
        <v>36</v>
      </c>
      <c r="E17">
        <v>113165</v>
      </c>
      <c r="F17">
        <v>44</v>
      </c>
      <c r="H17" t="s">
        <v>114</v>
      </c>
      <c r="I17">
        <v>329</v>
      </c>
      <c r="K17" t="s">
        <v>45</v>
      </c>
      <c r="L17">
        <v>53161</v>
      </c>
      <c r="M17">
        <v>365</v>
      </c>
    </row>
    <row r="18" spans="1:13" x14ac:dyDescent="0.3">
      <c r="A18" t="s">
        <v>18</v>
      </c>
      <c r="B18">
        <v>178</v>
      </c>
      <c r="D18" t="s">
        <v>37</v>
      </c>
      <c r="E18">
        <v>112969</v>
      </c>
      <c r="F18">
        <v>34</v>
      </c>
      <c r="H18" t="s">
        <v>115</v>
      </c>
      <c r="I18">
        <v>326</v>
      </c>
    </row>
    <row r="19" spans="1:13" x14ac:dyDescent="0.3">
      <c r="A19" t="s">
        <v>19</v>
      </c>
      <c r="B19">
        <v>173</v>
      </c>
      <c r="D19" t="s">
        <v>38</v>
      </c>
      <c r="E19">
        <v>111858</v>
      </c>
      <c r="F19">
        <v>45</v>
      </c>
      <c r="H19" t="s">
        <v>116</v>
      </c>
      <c r="I19">
        <v>325</v>
      </c>
    </row>
    <row r="20" spans="1:13" x14ac:dyDescent="0.3">
      <c r="A20" t="s">
        <v>20</v>
      </c>
      <c r="B20">
        <v>162</v>
      </c>
      <c r="D20" t="s">
        <v>4</v>
      </c>
      <c r="E20">
        <v>111407</v>
      </c>
      <c r="F20">
        <v>123</v>
      </c>
      <c r="H20" t="s">
        <v>117</v>
      </c>
      <c r="I20">
        <v>322</v>
      </c>
      <c r="K20" t="s">
        <v>119</v>
      </c>
      <c r="L20" t="s">
        <v>23</v>
      </c>
      <c r="M20" t="s">
        <v>24</v>
      </c>
    </row>
    <row r="21" spans="1:13" x14ac:dyDescent="0.3">
      <c r="A21" t="s">
        <v>21</v>
      </c>
      <c r="B21">
        <v>161</v>
      </c>
      <c r="D21" t="s">
        <v>39</v>
      </c>
      <c r="E21">
        <v>107521</v>
      </c>
      <c r="F21">
        <v>25</v>
      </c>
      <c r="H21" t="s">
        <v>118</v>
      </c>
      <c r="I21">
        <v>319</v>
      </c>
      <c r="K21" t="s">
        <v>142</v>
      </c>
      <c r="L21">
        <v>199605</v>
      </c>
      <c r="M21">
        <v>33</v>
      </c>
    </row>
    <row r="22" spans="1:13" x14ac:dyDescent="0.3">
      <c r="K22" t="s">
        <v>143</v>
      </c>
      <c r="L22">
        <v>178323</v>
      </c>
      <c r="M22">
        <v>44</v>
      </c>
    </row>
    <row r="23" spans="1:13" x14ac:dyDescent="0.3">
      <c r="K23" t="s">
        <v>144</v>
      </c>
      <c r="L23">
        <v>163085</v>
      </c>
      <c r="M23">
        <v>58</v>
      </c>
    </row>
    <row r="24" spans="1:13" x14ac:dyDescent="0.3">
      <c r="A24" t="s">
        <v>64</v>
      </c>
      <c r="B24" t="s">
        <v>50</v>
      </c>
      <c r="D24" t="s">
        <v>22</v>
      </c>
      <c r="E24" t="s">
        <v>64</v>
      </c>
      <c r="F24" t="s">
        <v>50</v>
      </c>
      <c r="H24" t="s">
        <v>119</v>
      </c>
      <c r="I24" t="s">
        <v>1</v>
      </c>
      <c r="K24" t="s">
        <v>145</v>
      </c>
      <c r="L24">
        <v>158828</v>
      </c>
      <c r="M24">
        <v>29</v>
      </c>
    </row>
    <row r="25" spans="1:13" x14ac:dyDescent="0.3">
      <c r="A25" t="s">
        <v>65</v>
      </c>
      <c r="B25">
        <v>248</v>
      </c>
      <c r="D25" t="s">
        <v>6</v>
      </c>
      <c r="E25" t="s">
        <v>66</v>
      </c>
      <c r="F25">
        <v>171</v>
      </c>
      <c r="H25" t="s">
        <v>120</v>
      </c>
      <c r="I25">
        <v>8125</v>
      </c>
      <c r="K25" t="s">
        <v>146</v>
      </c>
      <c r="L25">
        <v>155311</v>
      </c>
      <c r="M25">
        <v>147</v>
      </c>
    </row>
    <row r="26" spans="1:13" x14ac:dyDescent="0.3">
      <c r="A26" t="s">
        <v>66</v>
      </c>
      <c r="B26">
        <v>156</v>
      </c>
      <c r="D26" t="s">
        <v>6</v>
      </c>
      <c r="E26" t="s">
        <v>67</v>
      </c>
      <c r="F26">
        <v>108</v>
      </c>
      <c r="H26" t="s">
        <v>121</v>
      </c>
      <c r="I26">
        <v>2756</v>
      </c>
      <c r="K26" t="s">
        <v>147</v>
      </c>
      <c r="L26">
        <v>153622</v>
      </c>
      <c r="M26">
        <v>98</v>
      </c>
    </row>
    <row r="27" spans="1:13" x14ac:dyDescent="0.3">
      <c r="A27" t="s">
        <v>67</v>
      </c>
      <c r="B27">
        <v>149</v>
      </c>
      <c r="D27" t="s">
        <v>6</v>
      </c>
      <c r="E27" t="s">
        <v>80</v>
      </c>
      <c r="F27">
        <v>35</v>
      </c>
      <c r="H27" t="s">
        <v>122</v>
      </c>
      <c r="I27">
        <v>1834</v>
      </c>
      <c r="K27" t="s">
        <v>148</v>
      </c>
      <c r="L27">
        <v>149048</v>
      </c>
      <c r="M27">
        <v>16</v>
      </c>
    </row>
    <row r="28" spans="1:13" x14ac:dyDescent="0.3">
      <c r="A28" t="s">
        <v>68</v>
      </c>
      <c r="B28">
        <v>145</v>
      </c>
      <c r="D28" t="s">
        <v>6</v>
      </c>
      <c r="E28" t="s">
        <v>72</v>
      </c>
      <c r="F28">
        <v>25</v>
      </c>
      <c r="H28" t="s">
        <v>123</v>
      </c>
      <c r="I28">
        <v>1762</v>
      </c>
      <c r="K28" t="s">
        <v>149</v>
      </c>
      <c r="L28">
        <v>146503</v>
      </c>
      <c r="M28">
        <v>67</v>
      </c>
    </row>
    <row r="29" spans="1:13" x14ac:dyDescent="0.3">
      <c r="A29" t="s">
        <v>69</v>
      </c>
      <c r="B29">
        <v>141</v>
      </c>
      <c r="D29" t="s">
        <v>6</v>
      </c>
      <c r="E29" t="s">
        <v>79</v>
      </c>
      <c r="F29">
        <v>11</v>
      </c>
      <c r="H29" t="s">
        <v>124</v>
      </c>
      <c r="I29">
        <v>1383</v>
      </c>
      <c r="K29" t="s">
        <v>150</v>
      </c>
      <c r="L29">
        <v>146210</v>
      </c>
      <c r="M29">
        <v>24</v>
      </c>
    </row>
    <row r="30" spans="1:13" x14ac:dyDescent="0.3">
      <c r="A30" t="s">
        <v>70</v>
      </c>
      <c r="B30">
        <v>87</v>
      </c>
      <c r="D30" t="s">
        <v>6</v>
      </c>
      <c r="E30" t="s">
        <v>81</v>
      </c>
      <c r="F30">
        <v>6</v>
      </c>
      <c r="H30" t="s">
        <v>125</v>
      </c>
      <c r="I30">
        <v>1363</v>
      </c>
      <c r="K30" t="s">
        <v>151</v>
      </c>
      <c r="L30">
        <v>145272</v>
      </c>
      <c r="M30">
        <v>89</v>
      </c>
    </row>
    <row r="31" spans="1:13" x14ac:dyDescent="0.3">
      <c r="A31" t="s">
        <v>71</v>
      </c>
      <c r="B31">
        <v>83</v>
      </c>
      <c r="D31" t="s">
        <v>6</v>
      </c>
      <c r="E31" t="s">
        <v>82</v>
      </c>
      <c r="F31">
        <v>6</v>
      </c>
      <c r="H31" t="s">
        <v>126</v>
      </c>
      <c r="I31">
        <v>1176</v>
      </c>
      <c r="K31" t="s">
        <v>152</v>
      </c>
      <c r="L31">
        <v>144306</v>
      </c>
      <c r="M31">
        <v>230</v>
      </c>
    </row>
    <row r="32" spans="1:13" x14ac:dyDescent="0.3">
      <c r="A32" t="s">
        <v>72</v>
      </c>
      <c r="B32">
        <v>81</v>
      </c>
      <c r="D32" t="s">
        <v>6</v>
      </c>
      <c r="E32" t="s">
        <v>70</v>
      </c>
      <c r="F32">
        <v>4</v>
      </c>
      <c r="H32" t="s">
        <v>127</v>
      </c>
      <c r="I32">
        <v>1083</v>
      </c>
      <c r="K32" t="s">
        <v>153</v>
      </c>
      <c r="L32">
        <v>142121</v>
      </c>
      <c r="M32">
        <v>38</v>
      </c>
    </row>
    <row r="33" spans="1:13" x14ac:dyDescent="0.3">
      <c r="A33" t="s">
        <v>73</v>
      </c>
      <c r="B33">
        <v>63</v>
      </c>
      <c r="D33" t="s">
        <v>6</v>
      </c>
      <c r="E33" t="s">
        <v>68</v>
      </c>
      <c r="F33">
        <v>3</v>
      </c>
      <c r="H33" t="s">
        <v>128</v>
      </c>
      <c r="I33">
        <v>1075</v>
      </c>
      <c r="K33" t="s">
        <v>154</v>
      </c>
      <c r="L33">
        <v>142027</v>
      </c>
      <c r="M33">
        <v>46</v>
      </c>
    </row>
    <row r="34" spans="1:13" x14ac:dyDescent="0.3">
      <c r="A34" t="s">
        <v>74</v>
      </c>
      <c r="B34">
        <v>59</v>
      </c>
      <c r="D34" t="s">
        <v>6</v>
      </c>
      <c r="E34" t="s">
        <v>83</v>
      </c>
      <c r="F34">
        <v>1</v>
      </c>
      <c r="H34" t="s">
        <v>129</v>
      </c>
      <c r="I34">
        <v>1059</v>
      </c>
      <c r="K34" t="s">
        <v>155</v>
      </c>
      <c r="L34">
        <v>140753</v>
      </c>
      <c r="M34">
        <v>264</v>
      </c>
    </row>
    <row r="35" spans="1:13" x14ac:dyDescent="0.3">
      <c r="A35" t="s">
        <v>75</v>
      </c>
      <c r="B35">
        <v>53</v>
      </c>
      <c r="D35" t="s">
        <v>6</v>
      </c>
      <c r="E35" t="s">
        <v>84</v>
      </c>
      <c r="F35">
        <v>1</v>
      </c>
      <c r="H35" t="s">
        <v>130</v>
      </c>
      <c r="I35">
        <v>985</v>
      </c>
      <c r="K35" t="s">
        <v>132</v>
      </c>
      <c r="L35">
        <v>139403</v>
      </c>
      <c r="M35">
        <v>399</v>
      </c>
    </row>
    <row r="36" spans="1:13" x14ac:dyDescent="0.3">
      <c r="A36" t="s">
        <v>76</v>
      </c>
      <c r="B36">
        <v>49</v>
      </c>
      <c r="D36" t="s">
        <v>5</v>
      </c>
      <c r="E36" t="s">
        <v>66</v>
      </c>
      <c r="F36">
        <v>226</v>
      </c>
      <c r="H36" t="s">
        <v>131</v>
      </c>
      <c r="I36">
        <v>972</v>
      </c>
    </row>
    <row r="37" spans="1:13" x14ac:dyDescent="0.3">
      <c r="A37" t="s">
        <v>77</v>
      </c>
      <c r="B37">
        <v>45</v>
      </c>
      <c r="D37" t="s">
        <v>5</v>
      </c>
      <c r="E37" t="s">
        <v>72</v>
      </c>
      <c r="F37">
        <v>96</v>
      </c>
      <c r="H37" t="s">
        <v>132</v>
      </c>
      <c r="I37">
        <v>884</v>
      </c>
    </row>
    <row r="38" spans="1:13" x14ac:dyDescent="0.3">
      <c r="A38" t="s">
        <v>78</v>
      </c>
      <c r="B38">
        <v>40</v>
      </c>
      <c r="D38" t="s">
        <v>5</v>
      </c>
      <c r="E38" t="s">
        <v>67</v>
      </c>
      <c r="F38">
        <v>9</v>
      </c>
      <c r="H38" t="s">
        <v>133</v>
      </c>
      <c r="I38">
        <v>837</v>
      </c>
      <c r="K38" t="s">
        <v>156</v>
      </c>
      <c r="L38" t="s">
        <v>23</v>
      </c>
      <c r="M38" t="s">
        <v>24</v>
      </c>
    </row>
    <row r="39" spans="1:13" x14ac:dyDescent="0.3">
      <c r="A39" t="s">
        <v>79</v>
      </c>
      <c r="B39">
        <v>38</v>
      </c>
      <c r="D39" t="s">
        <v>5</v>
      </c>
      <c r="E39" t="s">
        <v>85</v>
      </c>
      <c r="F39">
        <v>4</v>
      </c>
      <c r="H39" t="s">
        <v>134</v>
      </c>
      <c r="I39">
        <v>818</v>
      </c>
      <c r="K39" t="s">
        <v>136</v>
      </c>
      <c r="L39">
        <v>102679</v>
      </c>
      <c r="M39">
        <v>3726</v>
      </c>
    </row>
    <row r="40" spans="1:13" x14ac:dyDescent="0.3">
      <c r="D40" t="s">
        <v>5</v>
      </c>
      <c r="E40" t="s">
        <v>81</v>
      </c>
      <c r="F40">
        <v>3</v>
      </c>
      <c r="K40" t="s">
        <v>135</v>
      </c>
      <c r="L40">
        <v>98406</v>
      </c>
      <c r="M40">
        <v>28790</v>
      </c>
    </row>
    <row r="41" spans="1:13" x14ac:dyDescent="0.3">
      <c r="D41" t="s">
        <v>5</v>
      </c>
      <c r="E41" t="s">
        <v>74</v>
      </c>
      <c r="F41">
        <v>3</v>
      </c>
      <c r="K41" t="s">
        <v>140</v>
      </c>
      <c r="L41">
        <v>76583</v>
      </c>
      <c r="M41">
        <v>136</v>
      </c>
    </row>
    <row r="42" spans="1:13" x14ac:dyDescent="0.3">
      <c r="A42" t="s">
        <v>49</v>
      </c>
      <c r="B42" t="s">
        <v>50</v>
      </c>
      <c r="D42" t="s">
        <v>5</v>
      </c>
      <c r="E42" t="s">
        <v>80</v>
      </c>
      <c r="F42">
        <v>2</v>
      </c>
      <c r="H42" t="s">
        <v>64</v>
      </c>
      <c r="I42" t="s">
        <v>50</v>
      </c>
      <c r="K42" t="s">
        <v>138</v>
      </c>
      <c r="L42">
        <v>74561</v>
      </c>
      <c r="M42">
        <v>383</v>
      </c>
    </row>
    <row r="43" spans="1:13" x14ac:dyDescent="0.3">
      <c r="A43" t="s">
        <v>51</v>
      </c>
      <c r="B43">
        <v>106469</v>
      </c>
      <c r="D43" t="s">
        <v>5</v>
      </c>
      <c r="E43" t="s">
        <v>86</v>
      </c>
      <c r="F43">
        <v>2</v>
      </c>
      <c r="H43" t="s">
        <v>66</v>
      </c>
      <c r="I43">
        <v>59773</v>
      </c>
      <c r="K43" t="s">
        <v>137</v>
      </c>
      <c r="L43">
        <v>59853</v>
      </c>
      <c r="M43">
        <v>2258</v>
      </c>
    </row>
    <row r="44" spans="1:13" x14ac:dyDescent="0.3">
      <c r="A44" t="s">
        <v>52</v>
      </c>
      <c r="B44">
        <v>20448</v>
      </c>
      <c r="D44" t="s">
        <v>5</v>
      </c>
      <c r="E44" t="s">
        <v>70</v>
      </c>
      <c r="F44">
        <v>1</v>
      </c>
      <c r="H44" t="s">
        <v>72</v>
      </c>
      <c r="I44">
        <v>29228</v>
      </c>
      <c r="K44" t="s">
        <v>45</v>
      </c>
      <c r="L44">
        <v>54850</v>
      </c>
      <c r="M44">
        <v>227</v>
      </c>
    </row>
    <row r="45" spans="1:13" x14ac:dyDescent="0.3">
      <c r="A45" t="s">
        <v>53</v>
      </c>
      <c r="B45">
        <v>15429</v>
      </c>
      <c r="D45" t="s">
        <v>3</v>
      </c>
      <c r="E45" t="s">
        <v>66</v>
      </c>
      <c r="F45">
        <v>294</v>
      </c>
      <c r="H45" t="s">
        <v>67</v>
      </c>
      <c r="I45">
        <v>18079</v>
      </c>
      <c r="K45" t="s">
        <v>139</v>
      </c>
      <c r="L45">
        <v>46788</v>
      </c>
      <c r="M45">
        <v>3</v>
      </c>
    </row>
    <row r="46" spans="1:13" x14ac:dyDescent="0.3">
      <c r="A46" t="s">
        <v>54</v>
      </c>
      <c r="B46">
        <v>11364</v>
      </c>
      <c r="D46" t="s">
        <v>3</v>
      </c>
      <c r="E46" t="s">
        <v>72</v>
      </c>
      <c r="F46">
        <v>84</v>
      </c>
      <c r="H46" t="s">
        <v>79</v>
      </c>
      <c r="I46">
        <v>9981</v>
      </c>
    </row>
    <row r="47" spans="1:13" x14ac:dyDescent="0.3">
      <c r="A47" t="s">
        <v>55</v>
      </c>
      <c r="B47">
        <v>9290</v>
      </c>
      <c r="D47" t="s">
        <v>3</v>
      </c>
      <c r="E47" t="s">
        <v>67</v>
      </c>
      <c r="F47">
        <v>78</v>
      </c>
      <c r="H47" t="s">
        <v>80</v>
      </c>
      <c r="I47">
        <v>8799</v>
      </c>
    </row>
    <row r="48" spans="1:13" x14ac:dyDescent="0.3">
      <c r="A48" t="s">
        <v>56</v>
      </c>
      <c r="B48">
        <v>9195</v>
      </c>
      <c r="D48" t="s">
        <v>3</v>
      </c>
      <c r="E48" t="s">
        <v>80</v>
      </c>
      <c r="F48">
        <v>16</v>
      </c>
      <c r="H48" t="s">
        <v>74</v>
      </c>
      <c r="I48">
        <v>5931</v>
      </c>
    </row>
    <row r="49" spans="1:9" x14ac:dyDescent="0.3">
      <c r="A49" t="s">
        <v>57</v>
      </c>
      <c r="B49">
        <v>7459</v>
      </c>
      <c r="D49" t="s">
        <v>3</v>
      </c>
      <c r="E49" t="s">
        <v>82</v>
      </c>
      <c r="F49">
        <v>5</v>
      </c>
      <c r="H49" t="s">
        <v>65</v>
      </c>
      <c r="I49">
        <v>5150</v>
      </c>
    </row>
    <row r="50" spans="1:9" x14ac:dyDescent="0.3">
      <c r="A50" t="s">
        <v>58</v>
      </c>
      <c r="B50">
        <v>4900</v>
      </c>
      <c r="D50" t="s">
        <v>3</v>
      </c>
      <c r="E50" t="s">
        <v>74</v>
      </c>
      <c r="F50">
        <v>3</v>
      </c>
      <c r="H50" t="s">
        <v>69</v>
      </c>
      <c r="I50">
        <v>4642</v>
      </c>
    </row>
    <row r="51" spans="1:9" x14ac:dyDescent="0.3">
      <c r="A51" t="s">
        <v>59</v>
      </c>
      <c r="B51">
        <v>4354</v>
      </c>
      <c r="D51" t="s">
        <v>3</v>
      </c>
      <c r="E51" t="s">
        <v>81</v>
      </c>
      <c r="F51">
        <v>1</v>
      </c>
      <c r="H51" t="s">
        <v>68</v>
      </c>
      <c r="I51">
        <v>3196</v>
      </c>
    </row>
    <row r="52" spans="1:9" x14ac:dyDescent="0.3">
      <c r="A52" t="s">
        <v>60</v>
      </c>
      <c r="B52">
        <v>2409</v>
      </c>
      <c r="D52" t="s">
        <v>3</v>
      </c>
      <c r="E52" t="s">
        <v>79</v>
      </c>
      <c r="F52">
        <v>1</v>
      </c>
      <c r="H52" t="s">
        <v>84</v>
      </c>
      <c r="I52">
        <v>3148</v>
      </c>
    </row>
    <row r="53" spans="1:9" x14ac:dyDescent="0.3">
      <c r="A53" t="s">
        <v>61</v>
      </c>
      <c r="B53">
        <v>1656</v>
      </c>
      <c r="D53" t="s">
        <v>3</v>
      </c>
      <c r="E53" t="s">
        <v>70</v>
      </c>
      <c r="F53">
        <v>1</v>
      </c>
      <c r="H53" t="s">
        <v>86</v>
      </c>
      <c r="I53">
        <v>2945</v>
      </c>
    </row>
    <row r="54" spans="1:9" x14ac:dyDescent="0.3">
      <c r="A54" t="s">
        <v>62</v>
      </c>
      <c r="B54">
        <v>1641</v>
      </c>
      <c r="D54" t="s">
        <v>9</v>
      </c>
      <c r="E54" t="s">
        <v>66</v>
      </c>
      <c r="F54">
        <v>180</v>
      </c>
      <c r="H54" t="s">
        <v>88</v>
      </c>
      <c r="I54">
        <v>2905</v>
      </c>
    </row>
    <row r="55" spans="1:9" x14ac:dyDescent="0.3">
      <c r="A55" t="s">
        <v>63</v>
      </c>
      <c r="B55">
        <v>1110</v>
      </c>
      <c r="D55" t="s">
        <v>9</v>
      </c>
      <c r="E55" t="s">
        <v>67</v>
      </c>
      <c r="F55">
        <v>76</v>
      </c>
      <c r="H55" t="s">
        <v>90</v>
      </c>
      <c r="I55">
        <v>2660</v>
      </c>
    </row>
    <row r="56" spans="1:9" x14ac:dyDescent="0.3">
      <c r="D56" t="s">
        <v>9</v>
      </c>
      <c r="E56" t="s">
        <v>72</v>
      </c>
      <c r="F56">
        <v>60</v>
      </c>
      <c r="H56" t="s">
        <v>81</v>
      </c>
      <c r="I56">
        <v>2427</v>
      </c>
    </row>
    <row r="57" spans="1:9" x14ac:dyDescent="0.3">
      <c r="D57" t="s">
        <v>9</v>
      </c>
      <c r="E57" t="s">
        <v>79</v>
      </c>
      <c r="F57">
        <v>19</v>
      </c>
      <c r="H57" t="s">
        <v>82</v>
      </c>
      <c r="I57">
        <v>2331</v>
      </c>
    </row>
    <row r="58" spans="1:9" x14ac:dyDescent="0.3">
      <c r="D58" t="s">
        <v>9</v>
      </c>
      <c r="E58" t="s">
        <v>80</v>
      </c>
      <c r="F58">
        <v>12</v>
      </c>
      <c r="H58" t="s">
        <v>77</v>
      </c>
      <c r="I58">
        <v>1957</v>
      </c>
    </row>
    <row r="59" spans="1:9" x14ac:dyDescent="0.3">
      <c r="D59" t="s">
        <v>9</v>
      </c>
      <c r="E59" t="s">
        <v>81</v>
      </c>
      <c r="F59">
        <v>2</v>
      </c>
      <c r="H59" t="s">
        <v>70</v>
      </c>
      <c r="I59">
        <v>1956</v>
      </c>
    </row>
    <row r="60" spans="1:9" x14ac:dyDescent="0.3">
      <c r="D60" t="s">
        <v>9</v>
      </c>
      <c r="E60" t="s">
        <v>68</v>
      </c>
      <c r="F60">
        <v>2</v>
      </c>
      <c r="H60" t="s">
        <v>75</v>
      </c>
      <c r="I60">
        <v>1707</v>
      </c>
    </row>
    <row r="61" spans="1:9" x14ac:dyDescent="0.3">
      <c r="D61" t="s">
        <v>9</v>
      </c>
      <c r="E61" t="s">
        <v>76</v>
      </c>
      <c r="F61">
        <v>2</v>
      </c>
      <c r="H61" t="s">
        <v>94</v>
      </c>
      <c r="I61">
        <v>1693</v>
      </c>
    </row>
    <row r="62" spans="1:9" x14ac:dyDescent="0.3">
      <c r="D62" t="s">
        <v>9</v>
      </c>
      <c r="E62" t="s">
        <v>86</v>
      </c>
      <c r="F62">
        <v>1</v>
      </c>
      <c r="H62" t="s">
        <v>87</v>
      </c>
      <c r="I62">
        <v>1556</v>
      </c>
    </row>
    <row r="63" spans="1:9" x14ac:dyDescent="0.3">
      <c r="D63" t="s">
        <v>9</v>
      </c>
      <c r="E63" t="s">
        <v>74</v>
      </c>
      <c r="F63">
        <v>1</v>
      </c>
    </row>
    <row r="64" spans="1:9" x14ac:dyDescent="0.3">
      <c r="D64" t="s">
        <v>9</v>
      </c>
      <c r="E64" t="s">
        <v>85</v>
      </c>
      <c r="F64">
        <v>1</v>
      </c>
    </row>
    <row r="65" spans="4:6" x14ac:dyDescent="0.3">
      <c r="D65" t="s">
        <v>9</v>
      </c>
      <c r="E65" t="s">
        <v>70</v>
      </c>
      <c r="F65">
        <v>1</v>
      </c>
    </row>
    <row r="66" spans="4:6" x14ac:dyDescent="0.3">
      <c r="D66" t="s">
        <v>4</v>
      </c>
      <c r="E66" t="s">
        <v>79</v>
      </c>
      <c r="F66">
        <v>253</v>
      </c>
    </row>
    <row r="67" spans="4:6" x14ac:dyDescent="0.3">
      <c r="D67" t="s">
        <v>4</v>
      </c>
      <c r="E67" t="s">
        <v>66</v>
      </c>
      <c r="F67">
        <v>237</v>
      </c>
    </row>
    <row r="68" spans="4:6" x14ac:dyDescent="0.3">
      <c r="D68" t="s">
        <v>4</v>
      </c>
      <c r="E68" t="s">
        <v>72</v>
      </c>
      <c r="F68">
        <v>150</v>
      </c>
    </row>
    <row r="69" spans="4:6" x14ac:dyDescent="0.3">
      <c r="D69" t="s">
        <v>4</v>
      </c>
      <c r="E69" t="s">
        <v>67</v>
      </c>
      <c r="F69">
        <v>70</v>
      </c>
    </row>
    <row r="70" spans="4:6" x14ac:dyDescent="0.3">
      <c r="D70" t="s">
        <v>4</v>
      </c>
      <c r="E70" t="s">
        <v>74</v>
      </c>
      <c r="F70">
        <v>56</v>
      </c>
    </row>
    <row r="71" spans="4:6" x14ac:dyDescent="0.3">
      <c r="D71" t="s">
        <v>4</v>
      </c>
      <c r="E71" t="s">
        <v>81</v>
      </c>
      <c r="F71">
        <v>30</v>
      </c>
    </row>
    <row r="72" spans="4:6" x14ac:dyDescent="0.3">
      <c r="D72" t="s">
        <v>4</v>
      </c>
      <c r="E72" t="s">
        <v>87</v>
      </c>
      <c r="F72">
        <v>19</v>
      </c>
    </row>
    <row r="73" spans="4:6" x14ac:dyDescent="0.3">
      <c r="D73" t="s">
        <v>4</v>
      </c>
      <c r="E73" t="s">
        <v>80</v>
      </c>
      <c r="F73">
        <v>17</v>
      </c>
    </row>
    <row r="74" spans="4:6" x14ac:dyDescent="0.3">
      <c r="D74" t="s">
        <v>4</v>
      </c>
      <c r="E74" t="s">
        <v>86</v>
      </c>
      <c r="F74">
        <v>14</v>
      </c>
    </row>
    <row r="75" spans="4:6" x14ac:dyDescent="0.3">
      <c r="D75" t="s">
        <v>4</v>
      </c>
      <c r="E75" t="s">
        <v>65</v>
      </c>
      <c r="F75">
        <v>7</v>
      </c>
    </row>
    <row r="76" spans="4:6" x14ac:dyDescent="0.3">
      <c r="D76" t="s">
        <v>4</v>
      </c>
      <c r="E76" t="s">
        <v>88</v>
      </c>
      <c r="F76">
        <v>6</v>
      </c>
    </row>
    <row r="77" spans="4:6" x14ac:dyDescent="0.3">
      <c r="D77" t="s">
        <v>4</v>
      </c>
      <c r="E77" t="s">
        <v>73</v>
      </c>
      <c r="F77">
        <v>5</v>
      </c>
    </row>
    <row r="78" spans="4:6" x14ac:dyDescent="0.3">
      <c r="D78" t="s">
        <v>4</v>
      </c>
      <c r="E78" t="s">
        <v>68</v>
      </c>
      <c r="F78">
        <v>4</v>
      </c>
    </row>
    <row r="79" spans="4:6" x14ac:dyDescent="0.3">
      <c r="D79" t="s">
        <v>4</v>
      </c>
      <c r="E79" t="s">
        <v>82</v>
      </c>
      <c r="F79">
        <v>4</v>
      </c>
    </row>
    <row r="80" spans="4:6" x14ac:dyDescent="0.3">
      <c r="D80" t="s">
        <v>4</v>
      </c>
      <c r="E80" t="s">
        <v>71</v>
      </c>
      <c r="F80">
        <v>3</v>
      </c>
    </row>
    <row r="81" spans="4:6" x14ac:dyDescent="0.3">
      <c r="D81" t="s">
        <v>4</v>
      </c>
      <c r="E81" t="s">
        <v>89</v>
      </c>
      <c r="F81">
        <v>2</v>
      </c>
    </row>
    <row r="82" spans="4:6" x14ac:dyDescent="0.3">
      <c r="D82" t="s">
        <v>4</v>
      </c>
      <c r="E82" t="s">
        <v>90</v>
      </c>
      <c r="F82">
        <v>2</v>
      </c>
    </row>
    <row r="83" spans="4:6" x14ac:dyDescent="0.3">
      <c r="D83" t="s">
        <v>4</v>
      </c>
      <c r="E83" t="s">
        <v>70</v>
      </c>
      <c r="F83">
        <v>2</v>
      </c>
    </row>
    <row r="84" spans="4:6" x14ac:dyDescent="0.3">
      <c r="D84" t="s">
        <v>4</v>
      </c>
      <c r="E84" t="s">
        <v>83</v>
      </c>
      <c r="F84">
        <v>2</v>
      </c>
    </row>
    <row r="85" spans="4:6" x14ac:dyDescent="0.3">
      <c r="D85" t="s">
        <v>4</v>
      </c>
      <c r="E85" t="s">
        <v>91</v>
      </c>
      <c r="F85">
        <v>1</v>
      </c>
    </row>
    <row r="86" spans="4:6" x14ac:dyDescent="0.3">
      <c r="D86" t="s">
        <v>4</v>
      </c>
      <c r="E86" t="s">
        <v>76</v>
      </c>
      <c r="F86">
        <v>1</v>
      </c>
    </row>
    <row r="87" spans="4:6" x14ac:dyDescent="0.3">
      <c r="D87" t="s">
        <v>4</v>
      </c>
      <c r="E87" t="s">
        <v>92</v>
      </c>
      <c r="F87">
        <v>1</v>
      </c>
    </row>
    <row r="88" spans="4:6" x14ac:dyDescent="0.3">
      <c r="D88" t="s">
        <v>4</v>
      </c>
      <c r="E88" t="s">
        <v>93</v>
      </c>
      <c r="F88">
        <v>1</v>
      </c>
    </row>
    <row r="89" spans="4:6" x14ac:dyDescent="0.3">
      <c r="D89" t="s">
        <v>4</v>
      </c>
      <c r="E89" t="s">
        <v>78</v>
      </c>
      <c r="F89">
        <v>1</v>
      </c>
    </row>
    <row r="90" spans="4:6" x14ac:dyDescent="0.3">
      <c r="D90" t="s">
        <v>4</v>
      </c>
      <c r="E90" t="s">
        <v>94</v>
      </c>
      <c r="F90">
        <v>1</v>
      </c>
    </row>
    <row r="91" spans="4:6" x14ac:dyDescent="0.3">
      <c r="D91" t="s">
        <v>4</v>
      </c>
      <c r="E91" t="s">
        <v>75</v>
      </c>
      <c r="F91">
        <v>1</v>
      </c>
    </row>
    <row r="92" spans="4:6" x14ac:dyDescent="0.3">
      <c r="D92" t="s">
        <v>4</v>
      </c>
      <c r="E92" t="s">
        <v>69</v>
      </c>
      <c r="F92">
        <v>1</v>
      </c>
    </row>
    <row r="93" spans="4:6" x14ac:dyDescent="0.3">
      <c r="D93" t="s">
        <v>4</v>
      </c>
      <c r="E93" t="s">
        <v>95</v>
      </c>
      <c r="F93">
        <v>1</v>
      </c>
    </row>
    <row r="94" spans="4:6" x14ac:dyDescent="0.3">
      <c r="D94" t="s">
        <v>4</v>
      </c>
      <c r="E94" t="s">
        <v>96</v>
      </c>
      <c r="F94">
        <v>1</v>
      </c>
    </row>
    <row r="95" spans="4:6" x14ac:dyDescent="0.3">
      <c r="D95" t="s">
        <v>4</v>
      </c>
      <c r="E95" t="s">
        <v>84</v>
      </c>
      <c r="F95">
        <v>1</v>
      </c>
    </row>
    <row r="96" spans="4:6" x14ac:dyDescent="0.3">
      <c r="D96" t="s">
        <v>11</v>
      </c>
      <c r="E96" t="s">
        <v>66</v>
      </c>
      <c r="F96">
        <v>39</v>
      </c>
    </row>
    <row r="97" spans="4:6" x14ac:dyDescent="0.3">
      <c r="D97" t="s">
        <v>11</v>
      </c>
      <c r="E97" t="s">
        <v>67</v>
      </c>
      <c r="F97">
        <v>17</v>
      </c>
    </row>
    <row r="98" spans="4:6" x14ac:dyDescent="0.3">
      <c r="D98" t="s">
        <v>11</v>
      </c>
      <c r="E98" t="s">
        <v>72</v>
      </c>
      <c r="F98">
        <v>15</v>
      </c>
    </row>
    <row r="99" spans="4:6" x14ac:dyDescent="0.3">
      <c r="D99" t="s">
        <v>11</v>
      </c>
      <c r="E99" t="s">
        <v>80</v>
      </c>
      <c r="F99">
        <v>1</v>
      </c>
    </row>
    <row r="100" spans="4:6" x14ac:dyDescent="0.3">
      <c r="D100" t="s">
        <v>10</v>
      </c>
      <c r="E100" t="s">
        <v>66</v>
      </c>
      <c r="F100">
        <v>52</v>
      </c>
    </row>
    <row r="101" spans="4:6" x14ac:dyDescent="0.3">
      <c r="D101" t="s">
        <v>10</v>
      </c>
      <c r="E101" t="s">
        <v>72</v>
      </c>
      <c r="F101">
        <v>12</v>
      </c>
    </row>
    <row r="102" spans="4:6" x14ac:dyDescent="0.3">
      <c r="D102" t="s">
        <v>10</v>
      </c>
      <c r="E102" t="s">
        <v>67</v>
      </c>
      <c r="F102">
        <v>2</v>
      </c>
    </row>
    <row r="103" spans="4:6" x14ac:dyDescent="0.3">
      <c r="D103" t="s">
        <v>10</v>
      </c>
      <c r="E103" t="s">
        <v>79</v>
      </c>
      <c r="F103">
        <v>2</v>
      </c>
    </row>
    <row r="104" spans="4:6" x14ac:dyDescent="0.3">
      <c r="D104" t="s">
        <v>10</v>
      </c>
      <c r="E104" t="s">
        <v>80</v>
      </c>
      <c r="F104">
        <v>1</v>
      </c>
    </row>
    <row r="105" spans="4:6" x14ac:dyDescent="0.3">
      <c r="D105" t="s">
        <v>2</v>
      </c>
      <c r="E105" t="s">
        <v>66</v>
      </c>
      <c r="F105">
        <v>644</v>
      </c>
    </row>
    <row r="106" spans="4:6" x14ac:dyDescent="0.3">
      <c r="D106" t="s">
        <v>2</v>
      </c>
      <c r="E106" t="s">
        <v>72</v>
      </c>
      <c r="F106">
        <v>36</v>
      </c>
    </row>
    <row r="107" spans="4:6" x14ac:dyDescent="0.3">
      <c r="D107" t="s">
        <v>2</v>
      </c>
      <c r="E107" t="s">
        <v>67</v>
      </c>
      <c r="F107">
        <v>11</v>
      </c>
    </row>
    <row r="108" spans="4:6" x14ac:dyDescent="0.3">
      <c r="D108" t="s">
        <v>2</v>
      </c>
      <c r="E108" t="s">
        <v>86</v>
      </c>
      <c r="F108">
        <v>7</v>
      </c>
    </row>
    <row r="109" spans="4:6" x14ac:dyDescent="0.3">
      <c r="D109" t="s">
        <v>2</v>
      </c>
      <c r="E109" t="s">
        <v>79</v>
      </c>
      <c r="F109">
        <v>4</v>
      </c>
    </row>
    <row r="110" spans="4:6" x14ac:dyDescent="0.3">
      <c r="D110" t="s">
        <v>2</v>
      </c>
      <c r="E110" t="s">
        <v>70</v>
      </c>
      <c r="F110">
        <v>2</v>
      </c>
    </row>
    <row r="111" spans="4:6" x14ac:dyDescent="0.3">
      <c r="D111" t="s">
        <v>2</v>
      </c>
      <c r="E111" t="s">
        <v>97</v>
      </c>
      <c r="F111">
        <v>2</v>
      </c>
    </row>
    <row r="112" spans="4:6" x14ac:dyDescent="0.3">
      <c r="D112" t="s">
        <v>2</v>
      </c>
      <c r="E112" t="s">
        <v>98</v>
      </c>
      <c r="F112">
        <v>1</v>
      </c>
    </row>
    <row r="113" spans="4:6" x14ac:dyDescent="0.3">
      <c r="D113" t="s">
        <v>2</v>
      </c>
      <c r="E113" t="s">
        <v>81</v>
      </c>
      <c r="F113">
        <v>1</v>
      </c>
    </row>
    <row r="114" spans="4:6" x14ac:dyDescent="0.3">
      <c r="D114" t="s">
        <v>2</v>
      </c>
      <c r="E114" t="s">
        <v>80</v>
      </c>
      <c r="F114">
        <v>1</v>
      </c>
    </row>
    <row r="115" spans="4:6" x14ac:dyDescent="0.3">
      <c r="D115" t="s">
        <v>8</v>
      </c>
      <c r="E115" t="s">
        <v>66</v>
      </c>
      <c r="F115">
        <v>80</v>
      </c>
    </row>
    <row r="116" spans="4:6" x14ac:dyDescent="0.3">
      <c r="D116" t="s">
        <v>8</v>
      </c>
      <c r="E116" t="s">
        <v>72</v>
      </c>
      <c r="F116">
        <v>11</v>
      </c>
    </row>
    <row r="117" spans="4:6" x14ac:dyDescent="0.3">
      <c r="D117" t="s">
        <v>8</v>
      </c>
      <c r="E117" t="s">
        <v>67</v>
      </c>
      <c r="F117">
        <v>4</v>
      </c>
    </row>
    <row r="118" spans="4:6" x14ac:dyDescent="0.3">
      <c r="D118" t="s">
        <v>8</v>
      </c>
      <c r="E118" t="s">
        <v>86</v>
      </c>
      <c r="F118">
        <v>2</v>
      </c>
    </row>
    <row r="119" spans="4:6" x14ac:dyDescent="0.3">
      <c r="D119" t="s">
        <v>8</v>
      </c>
      <c r="E119" t="s">
        <v>74</v>
      </c>
      <c r="F119">
        <v>1</v>
      </c>
    </row>
    <row r="120" spans="4:6" x14ac:dyDescent="0.3">
      <c r="D120" t="s">
        <v>7</v>
      </c>
      <c r="E120" t="s">
        <v>80</v>
      </c>
      <c r="F120">
        <v>243</v>
      </c>
    </row>
    <row r="121" spans="4:6" x14ac:dyDescent="0.3">
      <c r="D121" t="s">
        <v>7</v>
      </c>
      <c r="E121" t="s">
        <v>67</v>
      </c>
      <c r="F121">
        <v>131</v>
      </c>
    </row>
    <row r="122" spans="4:6" x14ac:dyDescent="0.3">
      <c r="D122" t="s">
        <v>7</v>
      </c>
      <c r="E122" t="s">
        <v>66</v>
      </c>
      <c r="F122">
        <v>123</v>
      </c>
    </row>
    <row r="123" spans="4:6" x14ac:dyDescent="0.3">
      <c r="D123" t="s">
        <v>7</v>
      </c>
      <c r="E123" t="s">
        <v>81</v>
      </c>
      <c r="F123">
        <v>44</v>
      </c>
    </row>
    <row r="124" spans="4:6" x14ac:dyDescent="0.3">
      <c r="D124" t="s">
        <v>7</v>
      </c>
      <c r="E124" t="s">
        <v>72</v>
      </c>
      <c r="F124">
        <v>34</v>
      </c>
    </row>
    <row r="125" spans="4:6" x14ac:dyDescent="0.3">
      <c r="D125" t="s">
        <v>7</v>
      </c>
      <c r="E125" t="s">
        <v>86</v>
      </c>
      <c r="F125">
        <v>34</v>
      </c>
    </row>
    <row r="126" spans="4:6" x14ac:dyDescent="0.3">
      <c r="D126" t="s">
        <v>7</v>
      </c>
      <c r="E126" t="s">
        <v>83</v>
      </c>
      <c r="F126">
        <v>31</v>
      </c>
    </row>
    <row r="127" spans="4:6" x14ac:dyDescent="0.3">
      <c r="D127" t="s">
        <v>7</v>
      </c>
      <c r="E127" t="s">
        <v>82</v>
      </c>
      <c r="F127">
        <v>17</v>
      </c>
    </row>
    <row r="128" spans="4:6" x14ac:dyDescent="0.3">
      <c r="D128" t="s">
        <v>7</v>
      </c>
      <c r="E128" t="s">
        <v>79</v>
      </c>
      <c r="F128">
        <v>10</v>
      </c>
    </row>
    <row r="129" spans="4:6" x14ac:dyDescent="0.3">
      <c r="D129" t="s">
        <v>7</v>
      </c>
      <c r="E129" t="s">
        <v>68</v>
      </c>
      <c r="F129">
        <v>5</v>
      </c>
    </row>
    <row r="130" spans="4:6" x14ac:dyDescent="0.3">
      <c r="D130" t="s">
        <v>7</v>
      </c>
      <c r="E130" t="s">
        <v>74</v>
      </c>
      <c r="F130">
        <v>3</v>
      </c>
    </row>
    <row r="131" spans="4:6" x14ac:dyDescent="0.3">
      <c r="D131" t="s">
        <v>7</v>
      </c>
      <c r="E131" t="s">
        <v>70</v>
      </c>
      <c r="F131">
        <v>1</v>
      </c>
    </row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A600-AFA9-46DF-B0CF-A13F75D864B7}">
  <dimension ref="A1:AI47"/>
  <sheetViews>
    <sheetView zoomScale="69" zoomScaleNormal="82" workbookViewId="0">
      <selection activeCell="K14" sqref="K14"/>
    </sheetView>
  </sheetViews>
  <sheetFormatPr defaultRowHeight="14.4" x14ac:dyDescent="0.3"/>
  <cols>
    <col min="1" max="1" width="16.109375" bestFit="1" customWidth="1"/>
    <col min="2" max="2" width="14.5546875" bestFit="1" customWidth="1"/>
    <col min="4" max="4" width="22" bestFit="1" customWidth="1"/>
    <col min="5" max="5" width="20.5546875" bestFit="1" customWidth="1"/>
    <col min="10" max="10" width="18.109375" bestFit="1" customWidth="1"/>
    <col min="11" max="11" width="28.5546875" bestFit="1" customWidth="1"/>
    <col min="12" max="12" width="15.77734375" bestFit="1" customWidth="1"/>
    <col min="13" max="13" width="5.21875" bestFit="1" customWidth="1"/>
    <col min="14" max="14" width="4.44140625" bestFit="1" customWidth="1"/>
    <col min="15" max="15" width="5.77734375" bestFit="1" customWidth="1"/>
    <col min="16" max="16" width="9.77734375" bestFit="1" customWidth="1"/>
    <col min="17" max="17" width="14.5546875" bestFit="1" customWidth="1"/>
    <col min="18" max="18" width="12.21875" bestFit="1" customWidth="1"/>
    <col min="19" max="19" width="11.77734375" bestFit="1" customWidth="1"/>
    <col min="20" max="20" width="10" bestFit="1" customWidth="1"/>
    <col min="21" max="21" width="5.6640625" bestFit="1" customWidth="1"/>
    <col min="22" max="22" width="15.88671875" bestFit="1" customWidth="1"/>
    <col min="23" max="23" width="10.77734375" bestFit="1" customWidth="1"/>
    <col min="24" max="24" width="4" bestFit="1" customWidth="1"/>
    <col min="25" max="25" width="12.44140625" bestFit="1" customWidth="1"/>
    <col min="26" max="26" width="6.6640625" bestFit="1" customWidth="1"/>
    <col min="27" max="27" width="5.109375" bestFit="1" customWidth="1"/>
    <col min="28" max="28" width="4.5546875" bestFit="1" customWidth="1"/>
    <col min="29" max="29" width="10.21875" bestFit="1" customWidth="1"/>
    <col min="30" max="30" width="5.33203125" bestFit="1" customWidth="1"/>
    <col min="31" max="31" width="16.109375" bestFit="1" customWidth="1"/>
    <col min="32" max="32" width="6.33203125" bestFit="1" customWidth="1"/>
    <col min="33" max="33" width="8.6640625" bestFit="1" customWidth="1"/>
    <col min="34" max="34" width="19.33203125" bestFit="1" customWidth="1"/>
    <col min="35" max="35" width="7.109375" bestFit="1" customWidth="1"/>
    <col min="36" max="36" width="3.77734375" bestFit="1" customWidth="1"/>
    <col min="37" max="37" width="5" bestFit="1" customWidth="1"/>
    <col min="38" max="38" width="6.21875" bestFit="1" customWidth="1"/>
    <col min="39" max="39" width="9.88671875" bestFit="1" customWidth="1"/>
    <col min="40" max="40" width="21.33203125" bestFit="1" customWidth="1"/>
    <col min="41" max="41" width="5.6640625" bestFit="1" customWidth="1"/>
    <col min="42" max="42" width="3.5546875" bestFit="1" customWidth="1"/>
    <col min="43" max="43" width="8.88671875" bestFit="1" customWidth="1"/>
    <col min="44" max="44" width="7.5546875" bestFit="1" customWidth="1"/>
    <col min="45" max="45" width="11.109375" bestFit="1" customWidth="1"/>
    <col min="46" max="46" width="9.5546875" bestFit="1" customWidth="1"/>
    <col min="47" max="47" width="14.33203125" bestFit="1" customWidth="1"/>
    <col min="48" max="48" width="12" bestFit="1" customWidth="1"/>
    <col min="49" max="49" width="11.44140625" bestFit="1" customWidth="1"/>
    <col min="50" max="50" width="5.21875" bestFit="1" customWidth="1"/>
    <col min="51" max="51" width="10.44140625" bestFit="1" customWidth="1"/>
    <col min="52" max="52" width="9.77734375" bestFit="1" customWidth="1"/>
    <col min="53" max="53" width="19" bestFit="1" customWidth="1"/>
    <col min="54" max="54" width="5.5546875" bestFit="1" customWidth="1"/>
    <col min="55" max="55" width="8.44140625" bestFit="1" customWidth="1"/>
    <col min="56" max="56" width="22.21875" bestFit="1" customWidth="1"/>
    <col min="57" max="57" width="17.88671875" bestFit="1" customWidth="1"/>
    <col min="58" max="58" width="4.88671875" bestFit="1" customWidth="1"/>
    <col min="59" max="59" width="4.21875" bestFit="1" customWidth="1"/>
    <col min="60" max="60" width="5.5546875" bestFit="1" customWidth="1"/>
    <col min="61" max="61" width="9.5546875" bestFit="1" customWidth="1"/>
    <col min="62" max="62" width="14.33203125" bestFit="1" customWidth="1"/>
    <col min="63" max="63" width="12" bestFit="1" customWidth="1"/>
    <col min="64" max="64" width="11.44140625" bestFit="1" customWidth="1"/>
    <col min="65" max="65" width="9.77734375" bestFit="1" customWidth="1"/>
    <col min="66" max="66" width="5.21875" bestFit="1" customWidth="1"/>
    <col min="67" max="67" width="15.44140625" bestFit="1" customWidth="1"/>
    <col min="68" max="68" width="10.44140625" bestFit="1" customWidth="1"/>
    <col min="69" max="69" width="4" bestFit="1" customWidth="1"/>
    <col min="70" max="70" width="12" bestFit="1" customWidth="1"/>
    <col min="71" max="71" width="6.6640625" bestFit="1" customWidth="1"/>
    <col min="72" max="72" width="4.88671875" bestFit="1" customWidth="1"/>
    <col min="73" max="73" width="4.5546875" bestFit="1" customWidth="1"/>
    <col min="74" max="74" width="9.77734375" bestFit="1" customWidth="1"/>
    <col min="75" max="75" width="5" bestFit="1" customWidth="1"/>
    <col min="76" max="76" width="15.6640625" bestFit="1" customWidth="1"/>
    <col min="77" max="77" width="6.109375" bestFit="1" customWidth="1"/>
    <col min="78" max="78" width="8.44140625" bestFit="1" customWidth="1"/>
    <col min="79" max="79" width="19" bestFit="1" customWidth="1"/>
    <col min="80" max="80" width="7.109375" bestFit="1" customWidth="1"/>
    <col min="81" max="81" width="3.6640625" bestFit="1" customWidth="1"/>
    <col min="82" max="82" width="4.88671875" bestFit="1" customWidth="1"/>
    <col min="83" max="83" width="6.109375" bestFit="1" customWidth="1"/>
    <col min="84" max="84" width="3.33203125" bestFit="1" customWidth="1"/>
    <col min="85" max="85" width="8.44140625" bestFit="1" customWidth="1"/>
    <col min="86" max="86" width="7.44140625" bestFit="1" customWidth="1"/>
    <col min="87" max="87" width="20" bestFit="1" customWidth="1"/>
    <col min="88" max="88" width="14" bestFit="1" customWidth="1"/>
    <col min="89" max="89" width="14.33203125" bestFit="1" customWidth="1"/>
    <col min="90" max="90" width="5.21875" bestFit="1" customWidth="1"/>
    <col min="91" max="91" width="9.77734375" bestFit="1" customWidth="1"/>
    <col min="92" max="92" width="16.109375" bestFit="1" customWidth="1"/>
    <col min="93" max="93" width="17.6640625" bestFit="1" customWidth="1"/>
    <col min="94" max="94" width="14.33203125" bestFit="1" customWidth="1"/>
    <col min="95" max="95" width="5.21875" bestFit="1" customWidth="1"/>
    <col min="96" max="96" width="9.77734375" bestFit="1" customWidth="1"/>
    <col min="97" max="97" width="19" bestFit="1" customWidth="1"/>
    <col min="98" max="98" width="19.77734375" bestFit="1" customWidth="1"/>
    <col min="99" max="99" width="16" bestFit="1" customWidth="1"/>
    <col min="100" max="100" width="9.5546875" bestFit="1" customWidth="1"/>
    <col min="101" max="101" width="14.33203125" bestFit="1" customWidth="1"/>
    <col min="102" max="102" width="5.21875" bestFit="1" customWidth="1"/>
    <col min="103" max="103" width="10.44140625" bestFit="1" customWidth="1"/>
    <col min="104" max="104" width="9.77734375" bestFit="1" customWidth="1"/>
    <col min="105" max="105" width="19" bestFit="1" customWidth="1"/>
    <col min="106" max="106" width="9.5546875" bestFit="1" customWidth="1"/>
    <col min="107" max="107" width="20.88671875" bestFit="1" customWidth="1"/>
    <col min="108" max="108" width="8.44140625" bestFit="1" customWidth="1"/>
    <col min="109" max="109" width="18.109375" bestFit="1" customWidth="1"/>
    <col min="110" max="110" width="13.77734375" bestFit="1" customWidth="1"/>
    <col min="111" max="111" width="14.33203125" bestFit="1" customWidth="1"/>
    <col min="112" max="112" width="5.21875" bestFit="1" customWidth="1"/>
    <col min="113" max="113" width="10.44140625" bestFit="1" customWidth="1"/>
    <col min="114" max="114" width="9.77734375" bestFit="1" customWidth="1"/>
    <col min="115" max="115" width="15.88671875" bestFit="1" customWidth="1"/>
    <col min="116" max="116" width="19.21875" bestFit="1" customWidth="1"/>
    <col min="117" max="117" width="4.88671875" bestFit="1" customWidth="1"/>
    <col min="118" max="118" width="9.5546875" bestFit="1" customWidth="1"/>
    <col min="119" max="119" width="14.33203125" bestFit="1" customWidth="1"/>
    <col min="120" max="120" width="12" bestFit="1" customWidth="1"/>
    <col min="121" max="121" width="5.21875" bestFit="1" customWidth="1"/>
    <col min="122" max="122" width="15.44140625" bestFit="1" customWidth="1"/>
    <col min="123" max="123" width="10.44140625" bestFit="1" customWidth="1"/>
    <col min="124" max="124" width="9.77734375" bestFit="1" customWidth="1"/>
    <col min="125" max="125" width="6.109375" bestFit="1" customWidth="1"/>
    <col min="126" max="126" width="19" bestFit="1" customWidth="1"/>
    <col min="127" max="127" width="8.44140625" bestFit="1" customWidth="1"/>
    <col min="128" max="128" width="21.33203125" bestFit="1" customWidth="1"/>
    <col min="129" max="129" width="11" bestFit="1" customWidth="1"/>
  </cols>
  <sheetData>
    <row r="1" spans="1:5" x14ac:dyDescent="0.3">
      <c r="A1" s="4" t="s">
        <v>157</v>
      </c>
      <c r="B1" t="s">
        <v>159</v>
      </c>
      <c r="D1" s="4" t="s">
        <v>157</v>
      </c>
      <c r="E1" t="s">
        <v>159</v>
      </c>
    </row>
    <row r="2" spans="1:5" x14ac:dyDescent="0.3">
      <c r="A2" s="5" t="s">
        <v>74</v>
      </c>
      <c r="B2">
        <v>59</v>
      </c>
      <c r="D2" s="5" t="s">
        <v>80</v>
      </c>
      <c r="E2">
        <v>8799</v>
      </c>
    </row>
    <row r="3" spans="1:5" x14ac:dyDescent="0.3">
      <c r="A3" s="5" t="s">
        <v>66</v>
      </c>
      <c r="B3">
        <v>156</v>
      </c>
      <c r="D3" s="5" t="s">
        <v>74</v>
      </c>
      <c r="E3">
        <v>5931</v>
      </c>
    </row>
    <row r="4" spans="1:5" x14ac:dyDescent="0.3">
      <c r="A4" s="5" t="s">
        <v>68</v>
      </c>
      <c r="B4">
        <v>145</v>
      </c>
      <c r="D4" s="5" t="s">
        <v>84</v>
      </c>
      <c r="E4">
        <v>3148</v>
      </c>
    </row>
    <row r="5" spans="1:5" x14ac:dyDescent="0.3">
      <c r="A5" s="5" t="s">
        <v>76</v>
      </c>
      <c r="B5">
        <v>49</v>
      </c>
      <c r="D5" s="5" t="s">
        <v>88</v>
      </c>
      <c r="E5">
        <v>2905</v>
      </c>
    </row>
    <row r="6" spans="1:5" x14ac:dyDescent="0.3">
      <c r="A6" s="5" t="s">
        <v>67</v>
      </c>
      <c r="B6">
        <v>149</v>
      </c>
      <c r="D6" s="5" t="s">
        <v>81</v>
      </c>
      <c r="E6">
        <v>2427</v>
      </c>
    </row>
    <row r="7" spans="1:5" x14ac:dyDescent="0.3">
      <c r="A7" s="5" t="s">
        <v>78</v>
      </c>
      <c r="B7">
        <v>40</v>
      </c>
      <c r="D7" s="5" t="s">
        <v>66</v>
      </c>
      <c r="E7">
        <v>59773</v>
      </c>
    </row>
    <row r="8" spans="1:5" x14ac:dyDescent="0.3">
      <c r="A8" s="5" t="s">
        <v>77</v>
      </c>
      <c r="B8">
        <v>45</v>
      </c>
      <c r="D8" s="5" t="s">
        <v>68</v>
      </c>
      <c r="E8">
        <v>3196</v>
      </c>
    </row>
    <row r="9" spans="1:5" x14ac:dyDescent="0.3">
      <c r="A9" s="5" t="s">
        <v>72</v>
      </c>
      <c r="B9">
        <v>81</v>
      </c>
      <c r="D9" s="5" t="s">
        <v>67</v>
      </c>
      <c r="E9">
        <v>18079</v>
      </c>
    </row>
    <row r="10" spans="1:5" x14ac:dyDescent="0.3">
      <c r="A10" s="5" t="s">
        <v>75</v>
      </c>
      <c r="B10">
        <v>53</v>
      </c>
      <c r="D10" s="5" t="s">
        <v>86</v>
      </c>
      <c r="E10">
        <v>2945</v>
      </c>
    </row>
    <row r="11" spans="1:5" x14ac:dyDescent="0.3">
      <c r="A11" s="5" t="s">
        <v>73</v>
      </c>
      <c r="B11">
        <v>63</v>
      </c>
      <c r="D11" s="5" t="s">
        <v>90</v>
      </c>
      <c r="E11">
        <v>2660</v>
      </c>
    </row>
    <row r="12" spans="1:5" x14ac:dyDescent="0.3">
      <c r="A12" s="5" t="s">
        <v>79</v>
      </c>
      <c r="B12">
        <v>38</v>
      </c>
      <c r="D12" s="5" t="s">
        <v>77</v>
      </c>
      <c r="E12">
        <v>1957</v>
      </c>
    </row>
    <row r="13" spans="1:5" x14ac:dyDescent="0.3">
      <c r="A13" s="5" t="s">
        <v>69</v>
      </c>
      <c r="B13">
        <v>141</v>
      </c>
      <c r="D13" s="5" t="s">
        <v>72</v>
      </c>
      <c r="E13">
        <v>29228</v>
      </c>
    </row>
    <row r="14" spans="1:5" x14ac:dyDescent="0.3">
      <c r="A14" s="5" t="s">
        <v>65</v>
      </c>
      <c r="B14">
        <v>248</v>
      </c>
      <c r="D14" s="5" t="s">
        <v>94</v>
      </c>
      <c r="E14">
        <v>1693</v>
      </c>
    </row>
    <row r="15" spans="1:5" x14ac:dyDescent="0.3">
      <c r="A15" s="5" t="s">
        <v>70</v>
      </c>
      <c r="B15">
        <v>87</v>
      </c>
      <c r="D15" s="5" t="s">
        <v>75</v>
      </c>
      <c r="E15">
        <v>1707</v>
      </c>
    </row>
    <row r="16" spans="1:5" x14ac:dyDescent="0.3">
      <c r="A16" s="5" t="s">
        <v>71</v>
      </c>
      <c r="B16">
        <v>83</v>
      </c>
      <c r="D16" s="5" t="s">
        <v>82</v>
      </c>
      <c r="E16">
        <v>2331</v>
      </c>
    </row>
    <row r="17" spans="1:5" x14ac:dyDescent="0.3">
      <c r="A17" s="5" t="s">
        <v>158</v>
      </c>
      <c r="B17">
        <v>1437</v>
      </c>
      <c r="D17" s="5" t="s">
        <v>79</v>
      </c>
      <c r="E17">
        <v>9981</v>
      </c>
    </row>
    <row r="18" spans="1:5" x14ac:dyDescent="0.3">
      <c r="D18" s="5" t="s">
        <v>69</v>
      </c>
      <c r="E18">
        <v>4642</v>
      </c>
    </row>
    <row r="19" spans="1:5" x14ac:dyDescent="0.3">
      <c r="A19" s="4" t="s">
        <v>157</v>
      </c>
      <c r="B19" t="s">
        <v>159</v>
      </c>
      <c r="D19" s="5" t="s">
        <v>87</v>
      </c>
      <c r="E19">
        <v>1556</v>
      </c>
    </row>
    <row r="20" spans="1:5" x14ac:dyDescent="0.3">
      <c r="A20" s="5" t="s">
        <v>63</v>
      </c>
      <c r="B20">
        <v>1110</v>
      </c>
      <c r="D20" s="5" t="s">
        <v>65</v>
      </c>
      <c r="E20">
        <v>5150</v>
      </c>
    </row>
    <row r="21" spans="1:5" x14ac:dyDescent="0.3">
      <c r="A21" s="5" t="s">
        <v>62</v>
      </c>
      <c r="B21">
        <v>1641</v>
      </c>
      <c r="D21" s="5" t="s">
        <v>70</v>
      </c>
      <c r="E21">
        <v>1956</v>
      </c>
    </row>
    <row r="22" spans="1:5" x14ac:dyDescent="0.3">
      <c r="A22" s="5" t="s">
        <v>51</v>
      </c>
      <c r="B22">
        <v>106469</v>
      </c>
      <c r="D22" s="5" t="s">
        <v>158</v>
      </c>
      <c r="E22">
        <v>170064</v>
      </c>
    </row>
    <row r="23" spans="1:5" x14ac:dyDescent="0.3">
      <c r="A23" s="5" t="s">
        <v>57</v>
      </c>
      <c r="B23">
        <v>7459</v>
      </c>
    </row>
    <row r="24" spans="1:5" x14ac:dyDescent="0.3">
      <c r="A24" s="5" t="s">
        <v>56</v>
      </c>
      <c r="B24">
        <v>9195</v>
      </c>
    </row>
    <row r="25" spans="1:5" x14ac:dyDescent="0.3">
      <c r="A25" s="5" t="s">
        <v>55</v>
      </c>
      <c r="B25">
        <v>9290</v>
      </c>
    </row>
    <row r="26" spans="1:5" x14ac:dyDescent="0.3">
      <c r="A26" s="5" t="s">
        <v>58</v>
      </c>
      <c r="B26">
        <v>4900</v>
      </c>
    </row>
    <row r="27" spans="1:5" x14ac:dyDescent="0.3">
      <c r="A27" s="5" t="s">
        <v>53</v>
      </c>
      <c r="B27">
        <v>15429</v>
      </c>
    </row>
    <row r="28" spans="1:5" x14ac:dyDescent="0.3">
      <c r="A28" s="5" t="s">
        <v>61</v>
      </c>
      <c r="B28">
        <v>1656</v>
      </c>
    </row>
    <row r="29" spans="1:5" x14ac:dyDescent="0.3">
      <c r="A29" s="5" t="s">
        <v>60</v>
      </c>
      <c r="B29">
        <v>2409</v>
      </c>
    </row>
    <row r="30" spans="1:5" x14ac:dyDescent="0.3">
      <c r="A30" s="5" t="s">
        <v>54</v>
      </c>
      <c r="B30">
        <v>11364</v>
      </c>
    </row>
    <row r="31" spans="1:5" x14ac:dyDescent="0.3">
      <c r="A31" s="5" t="s">
        <v>52</v>
      </c>
      <c r="B31">
        <v>20448</v>
      </c>
    </row>
    <row r="32" spans="1:5" x14ac:dyDescent="0.3">
      <c r="A32" s="5" t="s">
        <v>59</v>
      </c>
      <c r="B32">
        <v>4354</v>
      </c>
    </row>
    <row r="33" spans="1:35" x14ac:dyDescent="0.3">
      <c r="A33" s="5" t="s">
        <v>158</v>
      </c>
      <c r="B33">
        <v>195724</v>
      </c>
    </row>
    <row r="35" spans="1:35" x14ac:dyDescent="0.3">
      <c r="A35" s="4" t="s">
        <v>159</v>
      </c>
      <c r="B35" s="4" t="s">
        <v>160</v>
      </c>
    </row>
    <row r="36" spans="1:35" x14ac:dyDescent="0.3">
      <c r="A36" s="4" t="s">
        <v>157</v>
      </c>
      <c r="B36" t="s">
        <v>80</v>
      </c>
      <c r="C36" t="s">
        <v>74</v>
      </c>
      <c r="D36" t="s">
        <v>84</v>
      </c>
      <c r="E36" t="s">
        <v>88</v>
      </c>
      <c r="F36" t="s">
        <v>81</v>
      </c>
      <c r="G36" t="s">
        <v>66</v>
      </c>
      <c r="H36" t="s">
        <v>68</v>
      </c>
      <c r="I36" t="s">
        <v>76</v>
      </c>
      <c r="J36" t="s">
        <v>91</v>
      </c>
      <c r="K36" t="s">
        <v>67</v>
      </c>
      <c r="L36" t="s">
        <v>83</v>
      </c>
      <c r="M36" t="s">
        <v>86</v>
      </c>
      <c r="N36" t="s">
        <v>92</v>
      </c>
      <c r="O36" t="s">
        <v>89</v>
      </c>
      <c r="P36" t="s">
        <v>93</v>
      </c>
      <c r="Q36" t="s">
        <v>78</v>
      </c>
      <c r="R36" t="s">
        <v>90</v>
      </c>
      <c r="S36" t="s">
        <v>72</v>
      </c>
      <c r="T36" t="s">
        <v>94</v>
      </c>
      <c r="U36" t="s">
        <v>75</v>
      </c>
      <c r="V36" t="s">
        <v>82</v>
      </c>
      <c r="W36" t="s">
        <v>73</v>
      </c>
      <c r="X36" t="s">
        <v>79</v>
      </c>
      <c r="Y36" t="s">
        <v>69</v>
      </c>
      <c r="Z36" t="s">
        <v>95</v>
      </c>
      <c r="AA36" t="s">
        <v>96</v>
      </c>
      <c r="AB36" t="s">
        <v>87</v>
      </c>
      <c r="AC36" t="s">
        <v>98</v>
      </c>
      <c r="AD36" t="s">
        <v>97</v>
      </c>
      <c r="AE36" t="s">
        <v>85</v>
      </c>
      <c r="AF36" t="s">
        <v>65</v>
      </c>
      <c r="AG36" t="s">
        <v>70</v>
      </c>
      <c r="AH36" t="s">
        <v>71</v>
      </c>
      <c r="AI36" t="s">
        <v>158</v>
      </c>
    </row>
    <row r="37" spans="1:35" x14ac:dyDescent="0.3">
      <c r="A37" s="5" t="s">
        <v>6</v>
      </c>
      <c r="B37">
        <v>35</v>
      </c>
      <c r="D37">
        <v>1</v>
      </c>
      <c r="F37">
        <v>6</v>
      </c>
      <c r="G37">
        <v>171</v>
      </c>
      <c r="H37">
        <v>3</v>
      </c>
      <c r="K37">
        <v>108</v>
      </c>
      <c r="L37">
        <v>1</v>
      </c>
      <c r="S37">
        <v>25</v>
      </c>
      <c r="V37">
        <v>6</v>
      </c>
      <c r="X37">
        <v>11</v>
      </c>
      <c r="AG37">
        <v>4</v>
      </c>
      <c r="AI37">
        <v>371</v>
      </c>
    </row>
    <row r="38" spans="1:35" x14ac:dyDescent="0.3">
      <c r="A38" s="5" t="s">
        <v>5</v>
      </c>
      <c r="B38">
        <v>2</v>
      </c>
      <c r="C38">
        <v>3</v>
      </c>
      <c r="F38">
        <v>3</v>
      </c>
      <c r="G38">
        <v>226</v>
      </c>
      <c r="K38">
        <v>9</v>
      </c>
      <c r="M38">
        <v>2</v>
      </c>
      <c r="S38">
        <v>96</v>
      </c>
      <c r="AE38">
        <v>4</v>
      </c>
      <c r="AG38">
        <v>1</v>
      </c>
      <c r="AI38">
        <v>346</v>
      </c>
    </row>
    <row r="39" spans="1:35" x14ac:dyDescent="0.3">
      <c r="A39" s="5" t="s">
        <v>3</v>
      </c>
      <c r="B39">
        <v>16</v>
      </c>
      <c r="C39">
        <v>3</v>
      </c>
      <c r="F39">
        <v>1</v>
      </c>
      <c r="G39">
        <v>294</v>
      </c>
      <c r="K39">
        <v>78</v>
      </c>
      <c r="S39">
        <v>84</v>
      </c>
      <c r="V39">
        <v>5</v>
      </c>
      <c r="X39">
        <v>1</v>
      </c>
      <c r="AG39">
        <v>1</v>
      </c>
      <c r="AI39">
        <v>483</v>
      </c>
    </row>
    <row r="40" spans="1:35" x14ac:dyDescent="0.3">
      <c r="A40" s="5" t="s">
        <v>9</v>
      </c>
      <c r="B40">
        <v>12</v>
      </c>
      <c r="C40">
        <v>1</v>
      </c>
      <c r="F40">
        <v>2</v>
      </c>
      <c r="G40">
        <v>180</v>
      </c>
      <c r="H40">
        <v>2</v>
      </c>
      <c r="I40">
        <v>2</v>
      </c>
      <c r="K40">
        <v>76</v>
      </c>
      <c r="M40">
        <v>1</v>
      </c>
      <c r="S40">
        <v>60</v>
      </c>
      <c r="X40">
        <v>19</v>
      </c>
      <c r="AE40">
        <v>1</v>
      </c>
      <c r="AG40">
        <v>1</v>
      </c>
      <c r="AI40">
        <v>357</v>
      </c>
    </row>
    <row r="41" spans="1:35" x14ac:dyDescent="0.3">
      <c r="A41" s="5" t="s">
        <v>4</v>
      </c>
      <c r="B41">
        <v>17</v>
      </c>
      <c r="C41">
        <v>56</v>
      </c>
      <c r="D41">
        <v>1</v>
      </c>
      <c r="E41">
        <v>6</v>
      </c>
      <c r="F41">
        <v>30</v>
      </c>
      <c r="G41">
        <v>237</v>
      </c>
      <c r="H41">
        <v>4</v>
      </c>
      <c r="I41">
        <v>1</v>
      </c>
      <c r="J41">
        <v>1</v>
      </c>
      <c r="K41">
        <v>70</v>
      </c>
      <c r="L41">
        <v>2</v>
      </c>
      <c r="M41">
        <v>14</v>
      </c>
      <c r="N41">
        <v>1</v>
      </c>
      <c r="O41">
        <v>2</v>
      </c>
      <c r="P41">
        <v>1</v>
      </c>
      <c r="Q41">
        <v>1</v>
      </c>
      <c r="R41">
        <v>2</v>
      </c>
      <c r="S41">
        <v>150</v>
      </c>
      <c r="T41">
        <v>1</v>
      </c>
      <c r="U41">
        <v>1</v>
      </c>
      <c r="V41">
        <v>4</v>
      </c>
      <c r="W41">
        <v>5</v>
      </c>
      <c r="X41">
        <v>253</v>
      </c>
      <c r="Y41">
        <v>1</v>
      </c>
      <c r="Z41">
        <v>1</v>
      </c>
      <c r="AA41">
        <v>1</v>
      </c>
      <c r="AB41">
        <v>19</v>
      </c>
      <c r="AF41">
        <v>7</v>
      </c>
      <c r="AG41">
        <v>2</v>
      </c>
      <c r="AH41">
        <v>3</v>
      </c>
      <c r="AI41">
        <v>894</v>
      </c>
    </row>
    <row r="42" spans="1:35" x14ac:dyDescent="0.3">
      <c r="A42" s="5" t="s">
        <v>11</v>
      </c>
      <c r="B42">
        <v>1</v>
      </c>
      <c r="G42">
        <v>39</v>
      </c>
      <c r="K42">
        <v>17</v>
      </c>
      <c r="S42">
        <v>15</v>
      </c>
      <c r="AI42">
        <v>72</v>
      </c>
    </row>
    <row r="43" spans="1:35" x14ac:dyDescent="0.3">
      <c r="A43" s="5" t="s">
        <v>10</v>
      </c>
      <c r="B43">
        <v>1</v>
      </c>
      <c r="G43">
        <v>52</v>
      </c>
      <c r="K43">
        <v>2</v>
      </c>
      <c r="S43">
        <v>12</v>
      </c>
      <c r="X43">
        <v>2</v>
      </c>
      <c r="AI43">
        <v>69</v>
      </c>
    </row>
    <row r="44" spans="1:35" x14ac:dyDescent="0.3">
      <c r="A44" s="5" t="s">
        <v>2</v>
      </c>
      <c r="B44">
        <v>1</v>
      </c>
      <c r="F44">
        <v>1</v>
      </c>
      <c r="G44">
        <v>644</v>
      </c>
      <c r="K44">
        <v>11</v>
      </c>
      <c r="M44">
        <v>7</v>
      </c>
      <c r="S44">
        <v>36</v>
      </c>
      <c r="X44">
        <v>4</v>
      </c>
      <c r="AC44">
        <v>1</v>
      </c>
      <c r="AD44">
        <v>2</v>
      </c>
      <c r="AG44">
        <v>2</v>
      </c>
      <c r="AI44">
        <v>709</v>
      </c>
    </row>
    <row r="45" spans="1:35" x14ac:dyDescent="0.3">
      <c r="A45" s="5" t="s">
        <v>8</v>
      </c>
      <c r="C45">
        <v>1</v>
      </c>
      <c r="G45">
        <v>80</v>
      </c>
      <c r="K45">
        <v>4</v>
      </c>
      <c r="M45">
        <v>2</v>
      </c>
      <c r="S45">
        <v>11</v>
      </c>
      <c r="AI45">
        <v>98</v>
      </c>
    </row>
    <row r="46" spans="1:35" x14ac:dyDescent="0.3">
      <c r="A46" s="5" t="s">
        <v>7</v>
      </c>
      <c r="B46">
        <v>243</v>
      </c>
      <c r="C46">
        <v>3</v>
      </c>
      <c r="F46">
        <v>44</v>
      </c>
      <c r="G46">
        <v>123</v>
      </c>
      <c r="H46">
        <v>5</v>
      </c>
      <c r="K46">
        <v>131</v>
      </c>
      <c r="L46">
        <v>31</v>
      </c>
      <c r="M46">
        <v>34</v>
      </c>
      <c r="S46">
        <v>34</v>
      </c>
      <c r="V46">
        <v>17</v>
      </c>
      <c r="X46">
        <v>10</v>
      </c>
      <c r="AG46">
        <v>1</v>
      </c>
      <c r="AI46">
        <v>676</v>
      </c>
    </row>
    <row r="47" spans="1:35" x14ac:dyDescent="0.3">
      <c r="A47" s="5" t="s">
        <v>158</v>
      </c>
      <c r="B47">
        <v>328</v>
      </c>
      <c r="C47">
        <v>67</v>
      </c>
      <c r="D47">
        <v>2</v>
      </c>
      <c r="E47">
        <v>6</v>
      </c>
      <c r="F47">
        <v>87</v>
      </c>
      <c r="G47">
        <v>2046</v>
      </c>
      <c r="H47">
        <v>14</v>
      </c>
      <c r="I47">
        <v>3</v>
      </c>
      <c r="J47">
        <v>1</v>
      </c>
      <c r="K47">
        <v>506</v>
      </c>
      <c r="L47">
        <v>34</v>
      </c>
      <c r="M47">
        <v>60</v>
      </c>
      <c r="N47">
        <v>1</v>
      </c>
      <c r="O47">
        <v>2</v>
      </c>
      <c r="P47">
        <v>1</v>
      </c>
      <c r="Q47">
        <v>1</v>
      </c>
      <c r="R47">
        <v>2</v>
      </c>
      <c r="S47">
        <v>523</v>
      </c>
      <c r="T47">
        <v>1</v>
      </c>
      <c r="U47">
        <v>1</v>
      </c>
      <c r="V47">
        <v>32</v>
      </c>
      <c r="W47">
        <v>5</v>
      </c>
      <c r="X47">
        <v>300</v>
      </c>
      <c r="Y47">
        <v>1</v>
      </c>
      <c r="Z47">
        <v>1</v>
      </c>
      <c r="AA47">
        <v>1</v>
      </c>
      <c r="AB47">
        <v>19</v>
      </c>
      <c r="AC47">
        <v>1</v>
      </c>
      <c r="AD47">
        <v>2</v>
      </c>
      <c r="AE47">
        <v>5</v>
      </c>
      <c r="AF47">
        <v>7</v>
      </c>
      <c r="AG47">
        <v>12</v>
      </c>
      <c r="AH47">
        <v>3</v>
      </c>
      <c r="AI47">
        <v>4075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B92E-2DC1-405D-AECB-26AEFB7D91D5}">
  <dimension ref="A1"/>
  <sheetViews>
    <sheetView zoomScale="78" workbookViewId="0">
      <selection activeCell="S18" sqref="S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454D-DC99-49F0-9DD2-51E25E51C1D0}">
  <dimension ref="A1:E17"/>
  <sheetViews>
    <sheetView workbookViewId="0">
      <selection activeCell="K11" sqref="K11"/>
    </sheetView>
  </sheetViews>
  <sheetFormatPr defaultRowHeight="14.4" x14ac:dyDescent="0.3"/>
  <cols>
    <col min="1" max="1" width="28.33203125" bestFit="1" customWidth="1"/>
    <col min="2" max="2" width="16.21875" bestFit="1" customWidth="1"/>
    <col min="3" max="3" width="2.6640625" customWidth="1"/>
    <col min="4" max="4" width="20.88671875" bestFit="1" customWidth="1"/>
    <col min="5" max="5" width="16.44140625" bestFit="1" customWidth="1"/>
    <col min="6" max="6" width="8.5546875" bestFit="1" customWidth="1"/>
    <col min="7" max="19" width="7" bestFit="1" customWidth="1"/>
    <col min="20" max="20" width="10.77734375" bestFit="1" customWidth="1"/>
  </cols>
  <sheetData>
    <row r="1" spans="1:5" x14ac:dyDescent="0.3">
      <c r="A1" s="4" t="s">
        <v>157</v>
      </c>
      <c r="B1" t="s">
        <v>161</v>
      </c>
      <c r="D1" s="4" t="s">
        <v>157</v>
      </c>
      <c r="E1" t="s">
        <v>162</v>
      </c>
    </row>
    <row r="2" spans="1:5" x14ac:dyDescent="0.3">
      <c r="A2" s="5" t="s">
        <v>125</v>
      </c>
      <c r="B2">
        <v>1363</v>
      </c>
      <c r="D2" s="5" t="s">
        <v>143</v>
      </c>
      <c r="E2">
        <v>178323</v>
      </c>
    </row>
    <row r="3" spans="1:5" x14ac:dyDescent="0.3">
      <c r="A3" s="5" t="s">
        <v>127</v>
      </c>
      <c r="B3">
        <v>1083</v>
      </c>
      <c r="D3" s="5" t="s">
        <v>148</v>
      </c>
      <c r="E3">
        <v>149048</v>
      </c>
    </row>
    <row r="4" spans="1:5" x14ac:dyDescent="0.3">
      <c r="A4" s="5" t="s">
        <v>126</v>
      </c>
      <c r="B4">
        <v>1176</v>
      </c>
      <c r="D4" s="5" t="s">
        <v>153</v>
      </c>
      <c r="E4">
        <v>142121</v>
      </c>
    </row>
    <row r="5" spans="1:5" x14ac:dyDescent="0.3">
      <c r="A5" s="5" t="s">
        <v>128</v>
      </c>
      <c r="B5">
        <v>1075</v>
      </c>
      <c r="D5" s="5" t="s">
        <v>144</v>
      </c>
      <c r="E5">
        <v>163085</v>
      </c>
    </row>
    <row r="6" spans="1:5" x14ac:dyDescent="0.3">
      <c r="A6" s="5" t="s">
        <v>122</v>
      </c>
      <c r="B6">
        <v>1834</v>
      </c>
      <c r="D6" s="5" t="s">
        <v>155</v>
      </c>
      <c r="E6">
        <v>140753</v>
      </c>
    </row>
    <row r="7" spans="1:5" x14ac:dyDescent="0.3">
      <c r="A7" s="5" t="s">
        <v>124</v>
      </c>
      <c r="B7">
        <v>1383</v>
      </c>
      <c r="D7" s="5" t="s">
        <v>149</v>
      </c>
      <c r="E7">
        <v>146503</v>
      </c>
    </row>
    <row r="8" spans="1:5" x14ac:dyDescent="0.3">
      <c r="A8" s="5" t="s">
        <v>123</v>
      </c>
      <c r="B8">
        <v>1762</v>
      </c>
      <c r="D8" s="5" t="s">
        <v>145</v>
      </c>
      <c r="E8">
        <v>158828</v>
      </c>
    </row>
    <row r="9" spans="1:5" x14ac:dyDescent="0.3">
      <c r="A9" s="5" t="s">
        <v>131</v>
      </c>
      <c r="B9">
        <v>972</v>
      </c>
      <c r="D9" s="5" t="s">
        <v>154</v>
      </c>
      <c r="E9">
        <v>142027</v>
      </c>
    </row>
    <row r="10" spans="1:5" x14ac:dyDescent="0.3">
      <c r="A10" s="5" t="s">
        <v>133</v>
      </c>
      <c r="B10">
        <v>837</v>
      </c>
      <c r="D10" s="5" t="s">
        <v>146</v>
      </c>
      <c r="E10">
        <v>155311</v>
      </c>
    </row>
    <row r="11" spans="1:5" x14ac:dyDescent="0.3">
      <c r="A11" s="5" t="s">
        <v>121</v>
      </c>
      <c r="B11">
        <v>2756</v>
      </c>
      <c r="D11" s="5" t="s">
        <v>132</v>
      </c>
      <c r="E11">
        <v>139403</v>
      </c>
    </row>
    <row r="12" spans="1:5" x14ac:dyDescent="0.3">
      <c r="A12" s="5" t="s">
        <v>129</v>
      </c>
      <c r="B12">
        <v>1059</v>
      </c>
      <c r="D12" s="5" t="s">
        <v>152</v>
      </c>
      <c r="E12">
        <v>144306</v>
      </c>
    </row>
    <row r="13" spans="1:5" x14ac:dyDescent="0.3">
      <c r="A13" s="5" t="s">
        <v>132</v>
      </c>
      <c r="B13">
        <v>884</v>
      </c>
      <c r="D13" s="5" t="s">
        <v>142</v>
      </c>
      <c r="E13">
        <v>199605</v>
      </c>
    </row>
    <row r="14" spans="1:5" x14ac:dyDescent="0.3">
      <c r="A14" s="5" t="s">
        <v>134</v>
      </c>
      <c r="B14">
        <v>818</v>
      </c>
      <c r="D14" s="5" t="s">
        <v>151</v>
      </c>
      <c r="E14">
        <v>145272</v>
      </c>
    </row>
    <row r="15" spans="1:5" x14ac:dyDescent="0.3">
      <c r="A15" s="5" t="s">
        <v>120</v>
      </c>
      <c r="B15">
        <v>8125</v>
      </c>
      <c r="D15" s="5" t="s">
        <v>150</v>
      </c>
      <c r="E15">
        <v>146210</v>
      </c>
    </row>
    <row r="16" spans="1:5" x14ac:dyDescent="0.3">
      <c r="A16" s="5" t="s">
        <v>130</v>
      </c>
      <c r="B16">
        <v>985</v>
      </c>
      <c r="D16" s="5" t="s">
        <v>147</v>
      </c>
      <c r="E16">
        <v>153622</v>
      </c>
    </row>
    <row r="17" spans="1:5" x14ac:dyDescent="0.3">
      <c r="A17" s="5" t="s">
        <v>158</v>
      </c>
      <c r="B17">
        <v>26112</v>
      </c>
      <c r="D17" s="5" t="s">
        <v>158</v>
      </c>
      <c r="E17">
        <v>2304417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1D0C-E76D-483E-9D72-87FF52D3258A}">
  <dimension ref="A1"/>
  <sheetViews>
    <sheetView workbookViewId="0">
      <selection activeCell="G20" sqref="G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1B3C-BC7C-4CB0-8941-DE24BF9BAE2C}">
  <dimension ref="A1:E22"/>
  <sheetViews>
    <sheetView zoomScale="109" workbookViewId="0">
      <selection activeCell="J12" sqref="J12"/>
    </sheetView>
  </sheetViews>
  <sheetFormatPr defaultRowHeight="14.4" x14ac:dyDescent="0.3"/>
  <cols>
    <col min="1" max="1" width="25.44140625" bestFit="1" customWidth="1"/>
    <col min="2" max="2" width="16.44140625" bestFit="1" customWidth="1"/>
    <col min="4" max="4" width="12.5546875" bestFit="1" customWidth="1"/>
    <col min="5" max="5" width="16.44140625" bestFit="1" customWidth="1"/>
  </cols>
  <sheetData>
    <row r="1" spans="1:5" x14ac:dyDescent="0.3">
      <c r="A1" s="4" t="s">
        <v>157</v>
      </c>
      <c r="B1" t="s">
        <v>162</v>
      </c>
      <c r="D1" s="4" t="s">
        <v>157</v>
      </c>
      <c r="E1" t="s">
        <v>162</v>
      </c>
    </row>
    <row r="2" spans="1:5" x14ac:dyDescent="0.3">
      <c r="A2" s="5" t="s">
        <v>33</v>
      </c>
      <c r="B2">
        <v>122580</v>
      </c>
      <c r="D2" s="5" t="s">
        <v>46</v>
      </c>
      <c r="E2">
        <v>83113</v>
      </c>
    </row>
    <row r="3" spans="1:5" x14ac:dyDescent="0.3">
      <c r="A3" s="5" t="s">
        <v>34</v>
      </c>
      <c r="B3">
        <v>122370</v>
      </c>
      <c r="D3" s="5" t="s">
        <v>41</v>
      </c>
      <c r="E3">
        <v>170657</v>
      </c>
    </row>
    <row r="4" spans="1:5" x14ac:dyDescent="0.3">
      <c r="A4" s="5" t="s">
        <v>25</v>
      </c>
      <c r="B4">
        <v>152929</v>
      </c>
      <c r="D4" s="5" t="s">
        <v>47</v>
      </c>
      <c r="E4">
        <v>65231</v>
      </c>
    </row>
    <row r="5" spans="1:5" x14ac:dyDescent="0.3">
      <c r="A5" s="5" t="s">
        <v>36</v>
      </c>
      <c r="B5">
        <v>113165</v>
      </c>
      <c r="D5" s="5" t="s">
        <v>42</v>
      </c>
      <c r="E5">
        <v>196770</v>
      </c>
    </row>
    <row r="6" spans="1:5" x14ac:dyDescent="0.3">
      <c r="A6" s="5" t="s">
        <v>37</v>
      </c>
      <c r="B6">
        <v>112969</v>
      </c>
      <c r="D6" s="5" t="s">
        <v>45</v>
      </c>
      <c r="E6">
        <v>53161</v>
      </c>
    </row>
    <row r="7" spans="1:5" x14ac:dyDescent="0.3">
      <c r="A7" s="5" t="s">
        <v>35</v>
      </c>
      <c r="B7">
        <v>114732</v>
      </c>
      <c r="D7" s="5" t="s">
        <v>43</v>
      </c>
      <c r="E7">
        <v>113108</v>
      </c>
    </row>
    <row r="8" spans="1:5" x14ac:dyDescent="0.3">
      <c r="A8" s="5" t="s">
        <v>18</v>
      </c>
      <c r="B8">
        <v>138431</v>
      </c>
      <c r="D8" s="5" t="s">
        <v>158</v>
      </c>
      <c r="E8">
        <v>682040</v>
      </c>
    </row>
    <row r="9" spans="1:5" x14ac:dyDescent="0.3">
      <c r="A9" s="5" t="s">
        <v>38</v>
      </c>
      <c r="B9">
        <v>111858</v>
      </c>
    </row>
    <row r="10" spans="1:5" x14ac:dyDescent="0.3">
      <c r="A10" s="5" t="s">
        <v>32</v>
      </c>
      <c r="B10">
        <v>123266</v>
      </c>
      <c r="D10" s="4" t="s">
        <v>157</v>
      </c>
      <c r="E10" t="s">
        <v>162</v>
      </c>
    </row>
    <row r="11" spans="1:5" x14ac:dyDescent="0.3">
      <c r="A11" s="5" t="s">
        <v>27</v>
      </c>
      <c r="B11">
        <v>139843</v>
      </c>
      <c r="D11" s="5" t="s">
        <v>136</v>
      </c>
      <c r="E11">
        <v>102679</v>
      </c>
    </row>
    <row r="12" spans="1:5" x14ac:dyDescent="0.3">
      <c r="A12" s="5" t="s">
        <v>28</v>
      </c>
      <c r="B12">
        <v>137374</v>
      </c>
      <c r="D12" s="5" t="s">
        <v>135</v>
      </c>
      <c r="E12">
        <v>98406</v>
      </c>
    </row>
    <row r="13" spans="1:5" x14ac:dyDescent="0.3">
      <c r="A13" s="5" t="s">
        <v>30</v>
      </c>
      <c r="B13">
        <v>128046</v>
      </c>
      <c r="D13" s="5" t="s">
        <v>45</v>
      </c>
      <c r="E13">
        <v>54850</v>
      </c>
    </row>
    <row r="14" spans="1:5" x14ac:dyDescent="0.3">
      <c r="A14" s="5" t="s">
        <v>31</v>
      </c>
      <c r="B14">
        <v>126874</v>
      </c>
      <c r="D14" s="5" t="s">
        <v>140</v>
      </c>
      <c r="E14">
        <v>76583</v>
      </c>
    </row>
    <row r="15" spans="1:5" x14ac:dyDescent="0.3">
      <c r="A15" s="5" t="s">
        <v>4</v>
      </c>
      <c r="B15">
        <v>111407</v>
      </c>
      <c r="D15" s="5" t="s">
        <v>137</v>
      </c>
      <c r="E15">
        <v>59853</v>
      </c>
    </row>
    <row r="16" spans="1:5" x14ac:dyDescent="0.3">
      <c r="A16" s="5" t="s">
        <v>2</v>
      </c>
      <c r="B16">
        <v>118504</v>
      </c>
      <c r="D16" s="5" t="s">
        <v>138</v>
      </c>
      <c r="E16">
        <v>74561</v>
      </c>
    </row>
    <row r="17" spans="1:5" x14ac:dyDescent="0.3">
      <c r="A17" s="5" t="s">
        <v>39</v>
      </c>
      <c r="B17">
        <v>107521</v>
      </c>
      <c r="D17" s="5" t="s">
        <v>139</v>
      </c>
      <c r="E17">
        <v>46788</v>
      </c>
    </row>
    <row r="18" spans="1:5" x14ac:dyDescent="0.3">
      <c r="A18" s="5" t="s">
        <v>26</v>
      </c>
      <c r="B18">
        <v>142617</v>
      </c>
      <c r="D18" s="5" t="s">
        <v>158</v>
      </c>
      <c r="E18">
        <v>513720</v>
      </c>
    </row>
    <row r="19" spans="1:5" x14ac:dyDescent="0.3">
      <c r="A19" s="5" t="s">
        <v>20</v>
      </c>
      <c r="B19">
        <v>165161</v>
      </c>
    </row>
    <row r="20" spans="1:5" x14ac:dyDescent="0.3">
      <c r="A20" s="5" t="s">
        <v>17</v>
      </c>
      <c r="B20">
        <v>149497</v>
      </c>
    </row>
    <row r="21" spans="1:5" x14ac:dyDescent="0.3">
      <c r="A21" s="5" t="s">
        <v>29</v>
      </c>
      <c r="B21">
        <v>133396</v>
      </c>
    </row>
    <row r="22" spans="1:5" x14ac:dyDescent="0.3">
      <c r="A22" s="5" t="s">
        <v>158</v>
      </c>
      <c r="B22">
        <v>2572540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0590-D22D-433F-B83E-382CBC0B8E6A}">
  <dimension ref="A1"/>
  <sheetViews>
    <sheetView workbookViewId="0">
      <selection activeCell="I35" sqref="I35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18B7D6-AC85-4970-8750-AE3B9A5CF7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Data Overview</vt:lpstr>
      <vt:lpstr>Skill Analysis Pivot Tables</vt:lpstr>
      <vt:lpstr>Skill Analysis</vt:lpstr>
      <vt:lpstr>Location Analysis Pivot Table</vt:lpstr>
      <vt:lpstr>Location Analysis</vt:lpstr>
      <vt:lpstr>Salary Analysis Pivot Table</vt:lpstr>
      <vt:lpstr>Salary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KHATRI</dc:creator>
  <cp:lastModifiedBy>KHUSHI KHATRI</cp:lastModifiedBy>
  <dcterms:created xsi:type="dcterms:W3CDTF">2026-08-11T13:51:13Z</dcterms:created>
  <dcterms:modified xsi:type="dcterms:W3CDTF">2026-08-13T17:03:01Z</dcterms:modified>
</cp:coreProperties>
</file>